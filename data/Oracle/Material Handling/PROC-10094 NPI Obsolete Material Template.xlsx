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worksheets/sheet2.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cbump\Oracle Content - Accounts\Oracle Content\AQP\1 aqp refresh 2022\"/>
    </mc:Choice>
  </mc:AlternateContent>
  <bookViews>
    <workbookView xWindow="-120" yWindow="-120" windowWidth="29040" windowHeight="15840" activeTab="2"/>
  </bookViews>
  <sheets>
    <sheet name="Cover" sheetId="4" r:id="rId1"/>
    <sheet name="Instructions" sheetId="5" r:id="rId2"/>
    <sheet name="Template" sheetId="2" r:id="rId3"/>
  </sheets>
  <externalReferences>
    <externalReference r:id="rId4"/>
  </externalReferences>
  <definedNames>
    <definedName name="CapExp">'[1]Appropriation Request Line Item'!$O$9:$O$207</definedName>
    <definedName name="CurrApp">'[1]Appropriation Request Line Item'!$S$9:$S$207</definedName>
    <definedName name="OrderType">[1]Tables!#REF!</definedName>
    <definedName name="Org">'[1]Appropriation Request Line Item'!#REF!</definedName>
    <definedName name="Platform">[1]Tables!#REF!</definedName>
    <definedName name="PrevApp">'[1]Appropriation Request Line Item'!$Y$9:$Y$207</definedName>
    <definedName name="ProgramName">[1]Tables!$B$3:$B$46</definedName>
    <definedName name="ProjectPhase">[1]Tables!#REF!</definedName>
    <definedName name="Supplier">[1]Tables!#REF!</definedName>
    <definedName name="ToolingCategory">[1]Tables!#REF!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5" i="2" l="1"/>
  <c r="U5" i="2" s="1"/>
  <c r="N5" i="2"/>
  <c r="T4" i="2"/>
  <c r="U4" i="2" s="1"/>
  <c r="N4" i="2"/>
  <c r="Q3" i="2"/>
  <c r="T3" i="2" s="1"/>
  <c r="U3" i="2" s="1"/>
  <c r="U6" i="2" s="1"/>
  <c r="N3" i="2"/>
</calcChain>
</file>

<file path=xl/sharedStrings.xml><?xml version="1.0" encoding="utf-8"?>
<sst xmlns="http://schemas.openxmlformats.org/spreadsheetml/2006/main" count="124" uniqueCount="87">
  <si>
    <t>EM Sections</t>
    <phoneticPr fontId="20" type="noConversion"/>
  </si>
  <si>
    <t>Oracle PPM Sections</t>
    <phoneticPr fontId="21" type="noConversion"/>
  </si>
  <si>
    <t>NPI MPM Approval/ Comments</t>
    <phoneticPr fontId="21" type="noConversion"/>
  </si>
  <si>
    <t>No.</t>
    <phoneticPr fontId="20" type="noConversion"/>
  </si>
  <si>
    <t>NPI builds</t>
    <phoneticPr fontId="20" type="noConversion"/>
  </si>
  <si>
    <t>PN</t>
    <phoneticPr fontId="20" type="noConversion"/>
  </si>
  <si>
    <t>Description</t>
    <phoneticPr fontId="20" type="noConversion"/>
  </si>
  <si>
    <t>Report to</t>
    <phoneticPr fontId="20" type="noConversion"/>
  </si>
  <si>
    <t>AML</t>
    <phoneticPr fontId="20" type="noConversion"/>
  </si>
  <si>
    <t>MPN#</t>
    <phoneticPr fontId="20" type="noConversion"/>
  </si>
  <si>
    <t>MOQ</t>
    <phoneticPr fontId="20" type="noConversion"/>
  </si>
  <si>
    <t>MPN# Common/Unique</t>
  </si>
  <si>
    <t>Total Build Required q'ty</t>
    <phoneticPr fontId="20" type="noConversion"/>
  </si>
  <si>
    <t>PO#</t>
    <phoneticPr fontId="20" type="noConversion"/>
  </si>
  <si>
    <t>PO Date</t>
    <phoneticPr fontId="20" type="noConversion"/>
  </si>
  <si>
    <t>PO q'ty</t>
    <phoneticPr fontId="20" type="noConversion"/>
  </si>
  <si>
    <t>U/P (USD)</t>
    <phoneticPr fontId="20" type="noConversion"/>
  </si>
  <si>
    <t>Claim Q'ty</t>
    <phoneticPr fontId="20" type="noConversion"/>
  </si>
  <si>
    <t>Extend cost (USD)</t>
    <phoneticPr fontId="20" type="noConversion"/>
  </si>
  <si>
    <t>Details of Intervening event (ECOXXXX)</t>
    <phoneticPr fontId="20" type="noConversion"/>
  </si>
  <si>
    <t>ECO Received Date</t>
    <phoneticPr fontId="20" type="noConversion"/>
  </si>
  <si>
    <t>ECO
Phase in /Cut in</t>
    <phoneticPr fontId="20" type="noConversion"/>
  </si>
  <si>
    <t xml:space="preserve">Can EM Cancel PO? </t>
  </si>
  <si>
    <t>Can Part Be Returned?</t>
  </si>
  <si>
    <t>Can Part Be Sold?</t>
  </si>
  <si>
    <t>Can Part Be Transfred to other site or program, EMs?</t>
    <phoneticPr fontId="21" type="noConversion"/>
  </si>
  <si>
    <t>EM Action Evidence/ Justification</t>
    <phoneticPr fontId="20" type="noConversion"/>
  </si>
  <si>
    <t>Can Part Be Used On Next Build?</t>
    <phoneticPr fontId="20" type="noConversion"/>
  </si>
  <si>
    <t>PPM Approval/Comments</t>
    <phoneticPr fontId="20" type="noConversion"/>
  </si>
  <si>
    <t>SCRAP ONSITE or LOCAL EM RECYCLER w/COD</t>
    <phoneticPr fontId="21" type="noConversion"/>
  </si>
  <si>
    <t>Ship to Oracle location</t>
    <phoneticPr fontId="20" type="noConversion"/>
  </si>
  <si>
    <t>P0</t>
  </si>
  <si>
    <t>IND,PWR,SHLD,TRANS,105NH,15%,125A-ISAT,0</t>
  </si>
  <si>
    <t>8207624/8208311</t>
  </si>
  <si>
    <t>TDK</t>
  </si>
  <si>
    <t>VLBUC12060120R10LF3</t>
  </si>
  <si>
    <t>U</t>
  </si>
  <si>
    <t xml:space="preserve"> X10-2C,X10-2L,X10-8</t>
  </si>
  <si>
    <t>5560026143/5560031323</t>
    <phoneticPr fontId="20" type="noConversion"/>
  </si>
  <si>
    <t>11/10/2020 &amp;01/20/2021</t>
    <phoneticPr fontId="20" type="noConversion"/>
  </si>
  <si>
    <t xml:space="preserve">X10-2C/ E54991 
X10-2L/E54945
X10-8/ E53930 </t>
    <phoneticPr fontId="20" type="noConversion"/>
  </si>
  <si>
    <t>CUT IN</t>
    <phoneticPr fontId="20" type="noConversion"/>
  </si>
  <si>
    <t>No</t>
    <phoneticPr fontId="20" type="noConversion"/>
  </si>
  <si>
    <t xml:space="preserve">Other project can't consume and sold to broker/other site no demand after checking all </t>
    <phoneticPr fontId="20" type="noConversion"/>
  </si>
  <si>
    <t>Approved. No need</t>
    <phoneticPr fontId="20" type="noConversion"/>
  </si>
  <si>
    <t>SCRAP ONSITE</t>
    <phoneticPr fontId="20" type="noConversion"/>
  </si>
  <si>
    <t>Approved</t>
    <phoneticPr fontId="20" type="noConversion"/>
  </si>
  <si>
    <t>SKT,CPU,ICELAKE,LGA4189,15U-AU,RIGHT</t>
  </si>
  <si>
    <t>8201309&amp;8203884</t>
  </si>
  <si>
    <t>FIT</t>
  </si>
  <si>
    <t>PE41897-01NK3-1H</t>
  </si>
  <si>
    <t>U</t>
    <phoneticPr fontId="20" type="noConversion"/>
  </si>
  <si>
    <t>5560015742&amp;5560014798</t>
  </si>
  <si>
    <t>10/12/2019&amp;9/11/2019</t>
  </si>
  <si>
    <t>E52647</t>
    <phoneticPr fontId="20" type="noConversion"/>
  </si>
  <si>
    <t>12/13/2019</t>
    <phoneticPr fontId="20" type="noConversion"/>
  </si>
  <si>
    <t xml:space="preserve">FIT LGA4189 socket, used for Ice Lake CPUs was revised to comply with Intel DG 2.0 specification (E52671 12/13/19) </t>
    <phoneticPr fontId="20" type="noConversion"/>
  </si>
  <si>
    <t>SKT,CPU,ICELAKE,LGA4189,15U-AU,LEFT</t>
  </si>
  <si>
    <t>PE41897-01NK4-1H</t>
  </si>
  <si>
    <t>E52647</t>
  </si>
  <si>
    <t>NPI Obsolete Material Template</t>
  </si>
  <si>
    <t>Document Number: PROC-10094</t>
  </si>
  <si>
    <t>Template No: 7051300  Revision: 05</t>
  </si>
  <si>
    <r>
      <t xml:space="preserve">Form  </t>
    </r>
    <r>
      <rPr>
        <sz val="12"/>
        <rFont val="Oracle Sans"/>
        <family val="2"/>
      </rPr>
      <t>(Spreadsheet)</t>
    </r>
  </si>
  <si>
    <t>INSTRUCTIONS</t>
  </si>
  <si>
    <t>EM Section:</t>
    <phoneticPr fontId="20" type="noConversion"/>
  </si>
  <si>
    <t>Oracle Section:</t>
    <phoneticPr fontId="20" type="noConversion"/>
  </si>
  <si>
    <t xml:space="preserve">  </t>
  </si>
  <si>
    <r>
      <t>X10-2C/ E54991: 05/04/2021 
X10-2L/E54945: 04/26/2021</t>
    </r>
    <r>
      <rPr>
        <sz val="12"/>
        <color rgb="FFFF0000"/>
        <rFont val="Oracle Sans"/>
        <family val="2"/>
      </rPr>
      <t xml:space="preserve"> </t>
    </r>
    <r>
      <rPr>
        <sz val="12"/>
        <color theme="1"/>
        <rFont val="Oracle Sans"/>
        <family val="2"/>
      </rPr>
      <t xml:space="preserve">
X10-8/ E53930: 03/08/2021</t>
    </r>
    <phoneticPr fontId="20" type="noConversion"/>
  </si>
  <si>
    <t>Item Unique/ Common</t>
    <phoneticPr fontId="19" type="noConversion"/>
  </si>
  <si>
    <t>X10-2C P0 Build Required q'ty</t>
    <phoneticPr fontId="19" type="noConversion"/>
  </si>
  <si>
    <t>X10-8 P0 Build Required q'ty</t>
    <phoneticPr fontId="19" type="noConversion"/>
  </si>
  <si>
    <t>X10-2L P0 Build Required q'ty</t>
    <phoneticPr fontId="19" type="noConversion"/>
  </si>
  <si>
    <t>Total Claim $</t>
  </si>
  <si>
    <t>2) PPM needs to fill in columns "Oracle PPM Sections" in RED under the "Template" tab</t>
    <phoneticPr fontId="20" type="noConversion"/>
  </si>
  <si>
    <t>1) NPI MPM needs to fill in the column "NPI MPM Section" in RED under the "Template" tab</t>
    <phoneticPr fontId="20" type="noConversion"/>
  </si>
  <si>
    <t xml:space="preserve">1) Once Intervening event (ECOXXXX) occurred, EM should confirm and analyzes the ECO against the Bill of Material (BOM) and what has been authorized via Risk Buy Purchase Order/Advance Material Purchase (RBPO/AMP), Collaborative Planning (CP) demand, or Purchase Order(PO), then notify at minimum weekly to Oracle.  </t>
    <phoneticPr fontId="20" type="noConversion"/>
  </si>
  <si>
    <t xml:space="preserve">3) Once NPI Obsolete material template is fully approved, PPM will issue ENG PO to EM. </t>
    <phoneticPr fontId="20" type="noConversion"/>
  </si>
  <si>
    <t>NOTE:  NPI MPMs to assist Engineering Owned Settlement Agreements when obsolete material amount &gt;$25k has been identified. The PROC-10052-Assisting on Engineering Owned Settlement Agreements is approved in Fusion (E53807 approved on 2020/8/27)</t>
  </si>
  <si>
    <t>Using the New Product Introduction (NPI) obsolete material process/template is mandatory for all suppliers for obsolete NPI material claims.</t>
  </si>
  <si>
    <t>The process starts when a relevant engineering change order (ECO) is released and the external manufacturer (EM) analyzes the ECO against the Bill of Materials.</t>
  </si>
  <si>
    <t>General</t>
  </si>
  <si>
    <t>2) EM should summarize the obsolete material claims at the conclusion of each NPI build and fill in columns "EM Sections" under the "Template" tab. For the NPI common obsolete materials, it should be processed against the NPI platform/program who lastly released the ECO and removed parts from the BOMs.
In addition, EM updates the Template name using this format "XX (Product name)_XX build (Build name)_EM name_NPI Obsolete Material Template_YYMMDD", EM sends template to NPI MPM (Material Program Manager) and PPM (Principal Program Manager) for approval.</t>
    <phoneticPr fontId="19" type="noConversion"/>
  </si>
  <si>
    <t>Acutal Consumption Q'ty</t>
  </si>
  <si>
    <t>Important Note: If it's common part under J column, please indicate each product build q'ty with additional columns and all the related ECO# information in column V,W and X.</t>
  </si>
  <si>
    <t>Revision: 04</t>
  </si>
  <si>
    <t>Confidential- Oracle Restricted. Copyright 2022 © Oracle and / or its affiliates.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</si>
</sst>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font>
      <sz val="10"/>
      <color theme="1"/>
      <name val="Oracle Sans Tab"/>
      <family val="2"/>
      <scheme val="minor"/>
    </font>
    <font>
      <sz val="10"/>
      <color theme="1"/>
      <name val="Oracle Sans Tab"/>
      <family val="2"/>
      <scheme val="minor"/>
    </font>
    <font>
      <sz val="10"/>
      <color rgb="FF9C0006"/>
      <name val="Oracle Sans Tab"/>
      <family val="2"/>
      <scheme val="minor"/>
    </font>
    <font>
      <sz val="10"/>
      <color rgb="FF006100"/>
      <name val="Oracle Sans Tab"/>
      <family val="2"/>
      <scheme val="minor"/>
    </font>
    <font>
      <sz val="10"/>
      <color rgb="FF9C5700"/>
      <name val="Oracle Sans Tab"/>
      <family val="2"/>
      <scheme val="minor"/>
    </font>
    <font>
      <b/>
      <sz val="10"/>
      <color rgb="FFFA7D00"/>
      <name val="Oracle Sans Tab"/>
      <family val="2"/>
      <scheme val="minor"/>
    </font>
    <font>
      <b/>
      <sz val="10"/>
      <color theme="0"/>
      <name val="Oracle Sans Tab"/>
      <family val="2"/>
      <scheme val="minor"/>
    </font>
    <font>
      <i/>
      <sz val="10"/>
      <color rgb="FF7F7F7F"/>
      <name val="Oracle Sans Tab"/>
      <family val="2"/>
      <scheme val="minor"/>
    </font>
    <font>
      <sz val="10"/>
      <color rgb="FF3F3F76"/>
      <name val="Oracle Sans Tab"/>
      <family val="2"/>
      <scheme val="minor"/>
    </font>
    <font>
      <sz val="10"/>
      <color rgb="FFFA7D00"/>
      <name val="Oracle Sans Tab"/>
      <family val="2"/>
      <scheme val="minor"/>
    </font>
    <font>
      <b/>
      <sz val="13"/>
      <color theme="3"/>
      <name val="Oracle Sans Tab"/>
      <family val="2"/>
      <scheme val="minor"/>
    </font>
    <font>
      <b/>
      <sz val="10"/>
      <color theme="1"/>
      <name val="Oracle Sans Tab"/>
      <family val="2"/>
      <scheme val="minor"/>
    </font>
    <font>
      <b/>
      <sz val="10"/>
      <color rgb="FF3F3F3F"/>
      <name val="Oracle Sans Tab"/>
      <family val="2"/>
      <scheme val="minor"/>
    </font>
    <font>
      <sz val="10"/>
      <color rgb="FFFF0000"/>
      <name val="Oracle Sans Tab"/>
      <family val="2"/>
      <scheme val="minor"/>
    </font>
    <font>
      <b/>
      <sz val="15"/>
      <color theme="3"/>
      <name val="Oracle Sans Tab"/>
      <family val="2"/>
      <scheme val="minor"/>
    </font>
    <font>
      <b/>
      <sz val="11"/>
      <color theme="3"/>
      <name val="Oracle Sans Tab"/>
      <family val="2"/>
      <scheme val="minor"/>
    </font>
    <font>
      <sz val="18"/>
      <color theme="3"/>
      <name val="Oracle Sans Tab"/>
      <family val="2"/>
      <scheme val="minor"/>
    </font>
    <font>
      <sz val="10"/>
      <name val="Oracle Sans Tab"/>
      <family val="2"/>
      <scheme val="minor"/>
    </font>
    <font>
      <sz val="10"/>
      <color theme="0"/>
      <name val="Oracle Sans Tab"/>
      <family val="2"/>
      <scheme val="minor"/>
    </font>
    <font>
      <sz val="9"/>
      <name val="Oracle Sans Tab"/>
      <family val="3"/>
      <charset val="134"/>
      <scheme val="minor"/>
    </font>
    <font>
      <sz val="9"/>
      <name val="Oracle Sans Tab"/>
      <family val="2"/>
      <charset val="134"/>
      <scheme val="minor"/>
    </font>
    <font>
      <sz val="9"/>
      <name val="Oracle Sans Tab"/>
      <family val="3"/>
      <charset val="134"/>
      <scheme val="minor"/>
    </font>
    <font>
      <b/>
      <sz val="12"/>
      <name val="Oracle Sans"/>
      <family val="2"/>
    </font>
    <font>
      <sz val="10"/>
      <color theme="1"/>
      <name val="Oracle Sans"/>
      <family val="2"/>
    </font>
    <font>
      <sz val="18"/>
      <name val="Oracle Sans"/>
      <family val="2"/>
    </font>
    <font>
      <sz val="12"/>
      <name val="Oracle Sans"/>
      <family val="2"/>
    </font>
    <font>
      <b/>
      <sz val="10"/>
      <name val="Oracle Sans"/>
      <family val="2"/>
    </font>
    <font>
      <i/>
      <sz val="8"/>
      <name val="Oracle Sans"/>
      <family val="2"/>
    </font>
    <font>
      <sz val="8"/>
      <name val="Oracle Sans"/>
      <family val="2"/>
    </font>
    <font>
      <b/>
      <i/>
      <sz val="16"/>
      <name val="Oracle Sans"/>
      <family val="2"/>
    </font>
    <font>
      <sz val="10"/>
      <name val="Arial"/>
      <family val="2"/>
    </font>
    <font>
      <b/>
      <u/>
      <sz val="12"/>
      <color rgb="FF000000"/>
      <name val="Oracle Sans"/>
      <family val="2"/>
    </font>
    <font>
      <b/>
      <sz val="12"/>
      <color rgb="FF000000"/>
      <name val="Oracle Sans"/>
      <family val="2"/>
    </font>
    <font>
      <sz val="12"/>
      <color rgb="FF000000"/>
      <name val="Oracle Sans"/>
      <family val="2"/>
    </font>
    <font>
      <b/>
      <sz val="12"/>
      <color theme="1"/>
      <name val="Oracle Sans"/>
      <family val="2"/>
    </font>
    <font>
      <sz val="12"/>
      <color theme="1"/>
      <name val="Oracle Sans"/>
      <family val="2"/>
    </font>
    <font>
      <sz val="12"/>
      <color rgb="FFFF0000"/>
      <name val="Oracle Sans"/>
      <family val="2"/>
    </font>
    <font>
      <sz val="14"/>
      <color theme="1"/>
      <name val="Oracle Sans"/>
      <family val="2"/>
    </font>
    <font>
      <b/>
      <u/>
      <sz val="12"/>
      <name val="Oracle Sans"/>
      <family val="2"/>
    </font>
  </fonts>
  <fills count="2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theme="4"/>
        <bgColor indexed="64"/>
      </patternFill>
    </fill>
    <fill>
      <patternFill patternType="solid">
        <fgColor theme="6"/>
        <bgColor indexed="64"/>
      </patternFill>
    </fill>
    <fill>
      <patternFill patternType="solid">
        <fgColor theme="5"/>
        <bgColor indexed="64"/>
      </patternFill>
    </fill>
    <fill>
      <patternFill patternType="solid">
        <fgColor indexed="47"/>
        <bgColor indexed="22"/>
      </patternFill>
    </fill>
    <fill>
      <patternFill patternType="solid">
        <fgColor indexed="43"/>
        <bgColor indexed="26"/>
      </patternFill>
    </fill>
    <fill>
      <patternFill patternType="solid">
        <fgColor indexed="55"/>
        <bgColor indexed="23"/>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24">
    <xf numFmtId="0" fontId="0" fillId="0" borderId="0"/>
    <xf numFmtId="0" fontId="16" fillId="0" borderId="0" applyNumberFormat="0" applyFill="0" applyBorder="0" applyAlignment="0" applyProtection="0"/>
    <xf numFmtId="0" fontId="14" fillId="0" borderId="1" applyNumberFormat="0" applyFill="0" applyAlignment="0" applyProtection="0"/>
    <xf numFmtId="0" fontId="10" fillId="0" borderId="2" applyNumberFormat="0" applyFill="0" applyAlignment="0" applyProtection="0"/>
    <xf numFmtId="0" fontId="15" fillId="0" borderId="3" applyNumberFormat="0" applyFill="0" applyAlignment="0" applyProtection="0"/>
    <xf numFmtId="0" fontId="15" fillId="0" borderId="0" applyNumberFormat="0" applyFill="0" applyBorder="0" applyAlignment="0" applyProtection="0"/>
    <xf numFmtId="0" fontId="3" fillId="2" borderId="0" applyNumberFormat="0" applyBorder="0" applyAlignment="0" applyProtection="0"/>
    <xf numFmtId="0" fontId="2" fillId="3" borderId="0" applyNumberFormat="0" applyBorder="0" applyAlignment="0" applyProtection="0"/>
    <xf numFmtId="0" fontId="4" fillId="4" borderId="0" applyNumberFormat="0" applyBorder="0" applyAlignment="0" applyProtection="0"/>
    <xf numFmtId="0" fontId="8" fillId="5" borderId="4" applyNumberFormat="0" applyAlignment="0" applyProtection="0"/>
    <xf numFmtId="0" fontId="12" fillId="6" borderId="5" applyNumberFormat="0" applyAlignment="0" applyProtection="0"/>
    <xf numFmtId="0" fontId="5" fillId="6" borderId="4" applyNumberFormat="0" applyAlignment="0" applyProtection="0"/>
    <xf numFmtId="0" fontId="9" fillId="0" borderId="6" applyNumberFormat="0" applyFill="0" applyAlignment="0" applyProtection="0"/>
    <xf numFmtId="0" fontId="6" fillId="7" borderId="7" applyNumberFormat="0" applyAlignment="0" applyProtection="0"/>
    <xf numFmtId="0" fontId="13" fillId="0" borderId="0" applyNumberFormat="0" applyFill="0" applyBorder="0" applyAlignment="0" applyProtection="0"/>
    <xf numFmtId="0" fontId="7" fillId="0" borderId="0" applyNumberFormat="0" applyFill="0" applyBorder="0" applyAlignment="0" applyProtection="0"/>
    <xf numFmtId="0" fontId="11" fillId="0" borderId="8" applyNumberFormat="0" applyFill="0" applyAlignment="0" applyProtection="0"/>
    <xf numFmtId="0" fontId="18" fillId="8" borderId="0" applyNumberFormat="0" applyBorder="0" applyAlignment="0" applyProtection="0"/>
    <xf numFmtId="0" fontId="1"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7" fillId="13" borderId="0" applyNumberFormat="0" applyBorder="0" applyAlignment="0" applyProtection="0"/>
    <xf numFmtId="0" fontId="30" fillId="0" borderId="0"/>
  </cellStyleXfs>
  <cellXfs count="51">
    <xf numFmtId="0" fontId="0" fillId="0" borderId="0" xfId="0"/>
    <xf numFmtId="0" fontId="23" fillId="0" borderId="0" xfId="0" applyFont="1" applyAlignment="1"/>
    <xf numFmtId="0" fontId="23" fillId="0" borderId="0" xfId="0" applyFont="1" applyAlignment="1">
      <alignment vertical="top"/>
    </xf>
    <xf numFmtId="0" fontId="22" fillId="0" borderId="0" xfId="0" applyFont="1" applyAlignment="1">
      <alignment horizontal="right" vertical="center"/>
    </xf>
    <xf numFmtId="0" fontId="26" fillId="17" borderId="0" xfId="0" applyFont="1" applyFill="1" applyAlignment="1"/>
    <xf numFmtId="0" fontId="27" fillId="0" borderId="0" xfId="0" applyFont="1" applyAlignment="1">
      <alignment horizontal="right"/>
    </xf>
    <xf numFmtId="0" fontId="28" fillId="0" borderId="0" xfId="0" applyFont="1" applyAlignment="1"/>
    <xf numFmtId="0" fontId="27" fillId="0" borderId="0" xfId="0" applyFont="1" applyAlignment="1" applyProtection="1">
      <alignment horizontal="left"/>
    </xf>
    <xf numFmtId="0" fontId="23" fillId="0" borderId="0" xfId="0" applyFont="1" applyAlignment="1" applyProtection="1">
      <alignment horizontal="left"/>
    </xf>
    <xf numFmtId="0" fontId="25" fillId="0" borderId="0" xfId="23" applyFont="1"/>
    <xf numFmtId="0" fontId="31" fillId="0" borderId="10" xfId="23" applyFont="1" applyBorder="1" applyAlignment="1">
      <alignment horizontal="left" vertical="center" readingOrder="1"/>
    </xf>
    <xf numFmtId="0" fontId="25" fillId="0" borderId="11" xfId="23" applyFont="1" applyBorder="1"/>
    <xf numFmtId="0" fontId="25" fillId="0" borderId="12" xfId="23" applyFont="1" applyBorder="1"/>
    <xf numFmtId="0" fontId="32" fillId="0" borderId="13" xfId="23" applyFont="1" applyBorder="1" applyAlignment="1">
      <alignment horizontal="left" vertical="center" readingOrder="1"/>
    </xf>
    <xf numFmtId="0" fontId="25" fillId="0" borderId="0" xfId="23" applyFont="1" applyBorder="1"/>
    <xf numFmtId="0" fontId="25" fillId="0" borderId="14" xfId="23" applyFont="1" applyBorder="1"/>
    <xf numFmtId="0" fontId="33" fillId="0" borderId="13" xfId="23" applyFont="1" applyBorder="1" applyAlignment="1">
      <alignment horizontal="left" vertical="center" readingOrder="1"/>
    </xf>
    <xf numFmtId="0" fontId="25" fillId="0" borderId="13" xfId="23" applyFont="1" applyBorder="1" applyAlignment="1">
      <alignment horizontal="left" vertical="center" readingOrder="1"/>
    </xf>
    <xf numFmtId="0" fontId="25" fillId="0" borderId="15" xfId="23" applyFont="1" applyBorder="1"/>
    <xf numFmtId="0" fontId="25" fillId="0" borderId="16" xfId="23" applyFont="1" applyBorder="1"/>
    <xf numFmtId="0" fontId="25" fillId="0" borderId="17" xfId="23" applyFont="1" applyBorder="1"/>
    <xf numFmtId="0" fontId="35" fillId="0" borderId="0" xfId="0" applyFont="1" applyBorder="1" applyAlignment="1">
      <alignment horizontal="center" vertical="center"/>
    </xf>
    <xf numFmtId="0" fontId="35" fillId="0" borderId="0" xfId="0" applyFont="1" applyBorder="1" applyAlignment="1">
      <alignment horizontal="left" vertical="center"/>
    </xf>
    <xf numFmtId="0" fontId="35" fillId="0" borderId="0" xfId="0" applyFont="1" applyBorder="1" applyAlignment="1">
      <alignment horizontal="center" vertical="center" wrapText="1"/>
    </xf>
    <xf numFmtId="0" fontId="35" fillId="0" borderId="0" xfId="0" applyFont="1" applyBorder="1" applyAlignment="1">
      <alignment vertical="center"/>
    </xf>
    <xf numFmtId="0" fontId="35" fillId="0" borderId="0" xfId="0" applyFont="1" applyFill="1" applyBorder="1" applyAlignment="1">
      <alignment horizontal="center" vertical="center" wrapText="1"/>
    </xf>
    <xf numFmtId="0" fontId="35" fillId="0" borderId="0" xfId="0" applyFont="1" applyFill="1" applyBorder="1" applyAlignment="1">
      <alignment horizontal="left" vertical="center" wrapText="1"/>
    </xf>
    <xf numFmtId="0" fontId="34" fillId="0" borderId="0" xfId="0" applyFont="1" applyBorder="1" applyAlignment="1">
      <alignment horizontal="center" vertical="center" wrapText="1"/>
    </xf>
    <xf numFmtId="0" fontId="35" fillId="0" borderId="0" xfId="0" applyFont="1" applyBorder="1" applyAlignment="1">
      <alignment horizontal="left" vertical="center" wrapText="1"/>
    </xf>
    <xf numFmtId="0" fontId="35" fillId="0" borderId="0" xfId="0" applyFont="1"/>
    <xf numFmtId="0" fontId="37" fillId="0" borderId="0" xfId="0" applyFont="1" applyAlignment="1">
      <alignment horizontal="center" vertical="center"/>
    </xf>
    <xf numFmtId="0" fontId="37" fillId="15" borderId="9" xfId="0" applyFont="1" applyFill="1" applyBorder="1" applyAlignment="1">
      <alignment horizontal="center" vertical="center" wrapText="1"/>
    </xf>
    <xf numFmtId="0" fontId="37" fillId="14" borderId="9" xfId="0" applyFont="1" applyFill="1" applyBorder="1" applyAlignment="1">
      <alignment horizontal="center" vertical="center" wrapText="1"/>
    </xf>
    <xf numFmtId="0" fontId="37" fillId="0" borderId="0" xfId="0" applyFont="1" applyAlignment="1">
      <alignment horizontal="center" vertical="center" wrapText="1"/>
    </xf>
    <xf numFmtId="0" fontId="35" fillId="0" borderId="0" xfId="0" applyFont="1" applyAlignment="1">
      <alignment horizontal="center"/>
    </xf>
    <xf numFmtId="0" fontId="38" fillId="0" borderId="0" xfId="23" applyFont="1"/>
    <xf numFmtId="0" fontId="22" fillId="0" borderId="0" xfId="0" applyFont="1" applyAlignment="1">
      <alignment horizontal="left"/>
    </xf>
    <xf numFmtId="0" fontId="24" fillId="0" borderId="0" xfId="0" applyFont="1" applyFill="1" applyAlignment="1">
      <alignment vertical="center" wrapText="1"/>
    </xf>
    <xf numFmtId="0" fontId="22" fillId="0" borderId="0" xfId="0" applyFont="1" applyFill="1" applyAlignment="1">
      <alignment vertical="center" wrapText="1"/>
    </xf>
    <xf numFmtId="0" fontId="26" fillId="18" borderId="0" xfId="0" applyFont="1" applyFill="1" applyAlignment="1">
      <alignment horizontal="left"/>
    </xf>
    <xf numFmtId="0" fontId="29" fillId="19" borderId="0" xfId="0" applyFont="1" applyFill="1" applyBorder="1" applyAlignment="1"/>
    <xf numFmtId="0" fontId="33" fillId="0" borderId="13" xfId="23" applyFont="1" applyBorder="1" applyAlignment="1">
      <alignment horizontal="left" vertical="center" wrapText="1" readingOrder="1"/>
    </xf>
    <xf numFmtId="0" fontId="33" fillId="0" borderId="0" xfId="23" applyFont="1" applyBorder="1" applyAlignment="1">
      <alignment horizontal="left" vertical="center" wrapText="1" readingOrder="1"/>
    </xf>
    <xf numFmtId="0" fontId="33" fillId="0" borderId="14" xfId="23" applyFont="1" applyBorder="1" applyAlignment="1">
      <alignment horizontal="left" vertical="center" wrapText="1" readingOrder="1"/>
    </xf>
    <xf numFmtId="0" fontId="33" fillId="0" borderId="13" xfId="23" applyFont="1" applyBorder="1" applyAlignment="1">
      <alignment horizontal="left" vertical="center" readingOrder="1"/>
    </xf>
    <xf numFmtId="0" fontId="33" fillId="0" borderId="0" xfId="23" applyFont="1" applyBorder="1" applyAlignment="1">
      <alignment horizontal="left" vertical="center" readingOrder="1"/>
    </xf>
    <xf numFmtId="0" fontId="33" fillId="0" borderId="14" xfId="23" applyFont="1" applyBorder="1" applyAlignment="1">
      <alignment horizontal="left" vertical="center" readingOrder="1"/>
    </xf>
    <xf numFmtId="0" fontId="37" fillId="15" borderId="9" xfId="0" applyFont="1" applyFill="1" applyBorder="1" applyAlignment="1">
      <alignment horizontal="center" vertical="center" wrapText="1"/>
    </xf>
    <xf numFmtId="0" fontId="37" fillId="16" borderId="9" xfId="0" applyFont="1" applyFill="1" applyBorder="1" applyAlignment="1">
      <alignment horizontal="left" vertical="center" wrapText="1"/>
    </xf>
    <xf numFmtId="0" fontId="37" fillId="15" borderId="9" xfId="0" applyFont="1" applyFill="1" applyBorder="1" applyAlignment="1">
      <alignment horizontal="center" vertical="center"/>
    </xf>
    <xf numFmtId="0" fontId="37" fillId="14" borderId="9" xfId="0" applyFont="1" applyFill="1" applyBorder="1" applyAlignment="1">
      <alignment horizontal="center" vertical="center" wrapText="1"/>
    </xf>
  </cellXfs>
  <cellStyles count="24">
    <cellStyle name="Accent1" xfId="17" builtinId="29" customBuiltin="1"/>
    <cellStyle name="Accent2" xfId="18" builtinId="33" customBuiltin="1"/>
    <cellStyle name="Accent3" xfId="19" builtinId="37" customBuiltin="1"/>
    <cellStyle name="Accent4" xfId="20" builtinId="41" customBuiltin="1"/>
    <cellStyle name="Accent5" xfId="21" builtinId="45" customBuiltin="1"/>
    <cellStyle name="Accent6" xfId="22"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23"/>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1</xdr:col>
      <xdr:colOff>638175</xdr:colOff>
      <xdr:row>1</xdr:row>
      <xdr:rowOff>0</xdr:rowOff>
    </xdr:to>
    <xdr:pic>
      <xdr:nvPicPr>
        <xdr:cNvPr id="2" name="Graphics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298575" cy="3492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73477</xdr:colOff>
      <xdr:row>2</xdr:row>
      <xdr:rowOff>1212877</xdr:rowOff>
    </xdr:from>
    <xdr:ext cx="5474159" cy="996042"/>
    <xdr:sp macro="" textlink="">
      <xdr:nvSpPr>
        <xdr:cNvPr id="3" name="Rectangle 2">
          <a:extLst>
            <a:ext uri="{FF2B5EF4-FFF2-40B4-BE49-F238E27FC236}">
              <a16:creationId xmlns:a16="http://schemas.microsoft.com/office/drawing/2014/main" id="{00000000-0008-0000-0200-000002000000}"/>
            </a:ext>
          </a:extLst>
        </xdr:cNvPr>
        <xdr:cNvSpPr/>
      </xdr:nvSpPr>
      <xdr:spPr>
        <a:xfrm>
          <a:off x="73477" y="3535163"/>
          <a:ext cx="5474159" cy="996042"/>
        </a:xfrm>
        <a:prstGeom prst="rect">
          <a:avLst/>
        </a:prstGeom>
        <a:noFill/>
      </xdr:spPr>
      <xdr:txBody>
        <a:bodyPr wrap="square" lIns="91440" tIns="45720" rIns="91440" bIns="45720">
          <a:spAutoFit/>
        </a:bodyPr>
        <a:lstStyle/>
        <a:p>
          <a:pPr algn="ctr"/>
          <a:r>
            <a:rPr lang="en-US" altLang="zh-CN" sz="5400" b="1" cap="none" spc="0">
              <a:ln w="22225">
                <a:solidFill>
                  <a:schemeClr val="accent2"/>
                </a:solidFill>
                <a:prstDash val="solid"/>
              </a:ln>
              <a:solidFill>
                <a:schemeClr val="accent1"/>
              </a:solidFill>
              <a:effectLst/>
            </a:rPr>
            <a:t>Example</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ANGLIU/Oracle%20Content%20-%20&#36134;&#25143;/Oracle%20Content/Backup/TCAP%20TOOLING%20Request/User%20AR%20Template%20as%20of%2003.12.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ppropriation Request Summary"/>
      <sheetName val="Appropriation Request Line Item"/>
      <sheetName val="Prior_ARs (optional)"/>
      <sheetName val="PRQ_Form2"/>
      <sheetName val="PRQ_Form1"/>
      <sheetName val="Tables"/>
      <sheetName val="SCO Tooling Approvers"/>
    </sheetNames>
    <sheetDataSet>
      <sheetData sheetId="0"/>
      <sheetData sheetId="1"/>
      <sheetData sheetId="2">
        <row r="9">
          <cell r="O9" t="str">
            <v>Select one</v>
          </cell>
          <cell r="S9">
            <v>0</v>
          </cell>
          <cell r="Y9" t="str">
            <v/>
          </cell>
        </row>
        <row r="10">
          <cell r="O10" t="str">
            <v>Select one</v>
          </cell>
          <cell r="S10">
            <v>0</v>
          </cell>
          <cell r="Y10" t="str">
            <v/>
          </cell>
        </row>
        <row r="11">
          <cell r="O11" t="str">
            <v>Select one</v>
          </cell>
          <cell r="S11">
            <v>0</v>
          </cell>
          <cell r="Y11" t="str">
            <v/>
          </cell>
        </row>
        <row r="12">
          <cell r="S12">
            <v>0</v>
          </cell>
          <cell r="Y12" t="str">
            <v/>
          </cell>
        </row>
        <row r="13">
          <cell r="S13">
            <v>0</v>
          </cell>
          <cell r="Y13" t="str">
            <v/>
          </cell>
        </row>
        <row r="14">
          <cell r="S14">
            <v>0</v>
          </cell>
          <cell r="Y14" t="str">
            <v/>
          </cell>
        </row>
        <row r="15">
          <cell r="S15">
            <v>0</v>
          </cell>
          <cell r="Y15" t="str">
            <v/>
          </cell>
        </row>
        <row r="16">
          <cell r="S16">
            <v>0</v>
          </cell>
          <cell r="Y16" t="str">
            <v/>
          </cell>
        </row>
        <row r="17">
          <cell r="S17">
            <v>0</v>
          </cell>
          <cell r="Y17" t="str">
            <v/>
          </cell>
        </row>
        <row r="18">
          <cell r="S18">
            <v>0</v>
          </cell>
          <cell r="Y18" t="str">
            <v/>
          </cell>
        </row>
        <row r="19">
          <cell r="S19">
            <v>0</v>
          </cell>
          <cell r="Y19" t="str">
            <v/>
          </cell>
        </row>
        <row r="20">
          <cell r="S20">
            <v>0</v>
          </cell>
          <cell r="Y20" t="str">
            <v/>
          </cell>
        </row>
        <row r="21">
          <cell r="S21">
            <v>0</v>
          </cell>
          <cell r="Y21" t="str">
            <v/>
          </cell>
        </row>
        <row r="22">
          <cell r="S22">
            <v>0</v>
          </cell>
          <cell r="Y22" t="str">
            <v/>
          </cell>
        </row>
        <row r="23">
          <cell r="S23">
            <v>0</v>
          </cell>
          <cell r="Y23" t="str">
            <v/>
          </cell>
        </row>
        <row r="24">
          <cell r="S24">
            <v>0</v>
          </cell>
          <cell r="Y24" t="str">
            <v/>
          </cell>
        </row>
        <row r="25">
          <cell r="S25">
            <v>0</v>
          </cell>
          <cell r="Y25" t="str">
            <v/>
          </cell>
        </row>
        <row r="26">
          <cell r="S26">
            <v>0</v>
          </cell>
          <cell r="Y26" t="str">
            <v/>
          </cell>
        </row>
        <row r="27">
          <cell r="S27">
            <v>0</v>
          </cell>
          <cell r="Y27" t="str">
            <v/>
          </cell>
        </row>
        <row r="28">
          <cell r="S28">
            <v>0</v>
          </cell>
          <cell r="Y28" t="str">
            <v/>
          </cell>
        </row>
        <row r="29">
          <cell r="S29">
            <v>0</v>
          </cell>
          <cell r="Y29" t="str">
            <v/>
          </cell>
        </row>
        <row r="30">
          <cell r="S30">
            <v>0</v>
          </cell>
          <cell r="Y30" t="str">
            <v/>
          </cell>
        </row>
        <row r="31">
          <cell r="S31">
            <v>0</v>
          </cell>
          <cell r="Y31" t="str">
            <v/>
          </cell>
        </row>
        <row r="32">
          <cell r="S32">
            <v>0</v>
          </cell>
          <cell r="Y32" t="str">
            <v/>
          </cell>
        </row>
        <row r="33">
          <cell r="S33">
            <v>0</v>
          </cell>
          <cell r="Y33" t="str">
            <v/>
          </cell>
        </row>
        <row r="34">
          <cell r="S34">
            <v>0</v>
          </cell>
          <cell r="Y34" t="str">
            <v/>
          </cell>
        </row>
        <row r="35">
          <cell r="S35">
            <v>0</v>
          </cell>
          <cell r="Y35" t="str">
            <v/>
          </cell>
        </row>
        <row r="36">
          <cell r="S36">
            <v>0</v>
          </cell>
          <cell r="Y36" t="str">
            <v/>
          </cell>
        </row>
        <row r="37">
          <cell r="S37">
            <v>0</v>
          </cell>
          <cell r="Y37" t="str">
            <v/>
          </cell>
        </row>
        <row r="38">
          <cell r="S38">
            <v>0</v>
          </cell>
          <cell r="Y38" t="str">
            <v/>
          </cell>
        </row>
        <row r="39">
          <cell r="S39">
            <v>0</v>
          </cell>
          <cell r="Y39" t="str">
            <v/>
          </cell>
        </row>
        <row r="40">
          <cell r="S40">
            <v>0</v>
          </cell>
          <cell r="Y40" t="str">
            <v/>
          </cell>
        </row>
        <row r="41">
          <cell r="S41">
            <v>0</v>
          </cell>
          <cell r="Y41" t="str">
            <v/>
          </cell>
        </row>
        <row r="42">
          <cell r="S42">
            <v>0</v>
          </cell>
          <cell r="Y42" t="str">
            <v/>
          </cell>
        </row>
        <row r="43">
          <cell r="S43">
            <v>0</v>
          </cell>
          <cell r="Y43" t="str">
            <v/>
          </cell>
        </row>
        <row r="44">
          <cell r="S44">
            <v>0</v>
          </cell>
          <cell r="Y44" t="str">
            <v/>
          </cell>
        </row>
        <row r="45">
          <cell r="S45">
            <v>0</v>
          </cell>
          <cell r="Y45" t="str">
            <v/>
          </cell>
        </row>
        <row r="46">
          <cell r="S46">
            <v>0</v>
          </cell>
          <cell r="Y46" t="str">
            <v/>
          </cell>
        </row>
        <row r="47">
          <cell r="S47">
            <v>0</v>
          </cell>
          <cell r="Y47" t="str">
            <v/>
          </cell>
        </row>
        <row r="48">
          <cell r="S48">
            <v>0</v>
          </cell>
          <cell r="Y48" t="str">
            <v/>
          </cell>
        </row>
        <row r="49">
          <cell r="S49">
            <v>0</v>
          </cell>
          <cell r="Y49" t="str">
            <v/>
          </cell>
        </row>
        <row r="50">
          <cell r="S50">
            <v>0</v>
          </cell>
          <cell r="Y50" t="str">
            <v/>
          </cell>
        </row>
        <row r="51">
          <cell r="S51">
            <v>0</v>
          </cell>
          <cell r="Y51" t="str">
            <v/>
          </cell>
        </row>
        <row r="52">
          <cell r="S52">
            <v>0</v>
          </cell>
          <cell r="Y52" t="str">
            <v/>
          </cell>
        </row>
        <row r="53">
          <cell r="S53">
            <v>0</v>
          </cell>
          <cell r="Y53" t="str">
            <v/>
          </cell>
        </row>
        <row r="54">
          <cell r="S54">
            <v>0</v>
          </cell>
          <cell r="Y54" t="str">
            <v/>
          </cell>
        </row>
        <row r="55">
          <cell r="S55">
            <v>0</v>
          </cell>
          <cell r="Y55" t="str">
            <v/>
          </cell>
        </row>
        <row r="56">
          <cell r="S56">
            <v>0</v>
          </cell>
          <cell r="Y56" t="str">
            <v/>
          </cell>
        </row>
        <row r="57">
          <cell r="S57">
            <v>0</v>
          </cell>
          <cell r="Y57" t="str">
            <v/>
          </cell>
        </row>
        <row r="58">
          <cell r="S58">
            <v>0</v>
          </cell>
          <cell r="Y58" t="str">
            <v/>
          </cell>
        </row>
        <row r="59">
          <cell r="S59">
            <v>0</v>
          </cell>
          <cell r="Y59" t="str">
            <v/>
          </cell>
        </row>
        <row r="60">
          <cell r="S60">
            <v>0</v>
          </cell>
          <cell r="Y60" t="str">
            <v/>
          </cell>
        </row>
        <row r="61">
          <cell r="S61">
            <v>0</v>
          </cell>
          <cell r="Y61" t="str">
            <v/>
          </cell>
        </row>
        <row r="62">
          <cell r="S62">
            <v>0</v>
          </cell>
          <cell r="Y62" t="str">
            <v/>
          </cell>
        </row>
        <row r="63">
          <cell r="S63">
            <v>0</v>
          </cell>
          <cell r="Y63" t="str">
            <v/>
          </cell>
        </row>
        <row r="64">
          <cell r="S64">
            <v>0</v>
          </cell>
          <cell r="Y64" t="str">
            <v/>
          </cell>
        </row>
        <row r="65">
          <cell r="S65">
            <v>0</v>
          </cell>
          <cell r="Y65" t="str">
            <v/>
          </cell>
        </row>
        <row r="66">
          <cell r="S66">
            <v>0</v>
          </cell>
          <cell r="Y66" t="str">
            <v/>
          </cell>
        </row>
        <row r="67">
          <cell r="S67">
            <v>0</v>
          </cell>
          <cell r="Y67" t="str">
            <v/>
          </cell>
        </row>
        <row r="68">
          <cell r="S68">
            <v>0</v>
          </cell>
          <cell r="Y68" t="str">
            <v/>
          </cell>
        </row>
        <row r="69">
          <cell r="S69">
            <v>0</v>
          </cell>
          <cell r="Y69" t="str">
            <v/>
          </cell>
        </row>
        <row r="70">
          <cell r="S70">
            <v>0</v>
          </cell>
          <cell r="Y70" t="str">
            <v/>
          </cell>
        </row>
        <row r="71">
          <cell r="S71">
            <v>0</v>
          </cell>
          <cell r="Y71" t="str">
            <v/>
          </cell>
        </row>
        <row r="72">
          <cell r="S72">
            <v>0</v>
          </cell>
          <cell r="Y72" t="str">
            <v/>
          </cell>
        </row>
        <row r="73">
          <cell r="S73">
            <v>0</v>
          </cell>
          <cell r="Y73" t="str">
            <v/>
          </cell>
        </row>
        <row r="74">
          <cell r="S74">
            <v>0</v>
          </cell>
          <cell r="Y74" t="str">
            <v/>
          </cell>
        </row>
        <row r="75">
          <cell r="S75">
            <v>0</v>
          </cell>
          <cell r="Y75" t="str">
            <v/>
          </cell>
        </row>
        <row r="76">
          <cell r="S76">
            <v>0</v>
          </cell>
          <cell r="Y76" t="str">
            <v/>
          </cell>
        </row>
        <row r="77">
          <cell r="S77">
            <v>0</v>
          </cell>
          <cell r="Y77" t="str">
            <v/>
          </cell>
        </row>
        <row r="78">
          <cell r="S78">
            <v>0</v>
          </cell>
          <cell r="Y78" t="str">
            <v/>
          </cell>
        </row>
        <row r="79">
          <cell r="S79">
            <v>0</v>
          </cell>
          <cell r="Y79" t="str">
            <v/>
          </cell>
        </row>
        <row r="80">
          <cell r="S80">
            <v>0</v>
          </cell>
          <cell r="Y80" t="str">
            <v/>
          </cell>
        </row>
        <row r="81">
          <cell r="S81">
            <v>0</v>
          </cell>
          <cell r="Y81" t="str">
            <v/>
          </cell>
        </row>
        <row r="82">
          <cell r="S82">
            <v>0</v>
          </cell>
          <cell r="Y82" t="str">
            <v/>
          </cell>
        </row>
        <row r="83">
          <cell r="S83">
            <v>0</v>
          </cell>
          <cell r="Y83" t="str">
            <v/>
          </cell>
        </row>
        <row r="84">
          <cell r="S84">
            <v>0</v>
          </cell>
          <cell r="Y84" t="str">
            <v/>
          </cell>
        </row>
        <row r="85">
          <cell r="S85">
            <v>0</v>
          </cell>
          <cell r="Y85" t="str">
            <v/>
          </cell>
        </row>
        <row r="86">
          <cell r="S86">
            <v>0</v>
          </cell>
          <cell r="Y86" t="str">
            <v/>
          </cell>
        </row>
        <row r="87">
          <cell r="S87">
            <v>0</v>
          </cell>
          <cell r="Y87" t="str">
            <v/>
          </cell>
        </row>
        <row r="88">
          <cell r="S88">
            <v>0</v>
          </cell>
          <cell r="Y88" t="str">
            <v/>
          </cell>
        </row>
        <row r="89">
          <cell r="S89">
            <v>0</v>
          </cell>
          <cell r="Y89" t="str">
            <v/>
          </cell>
        </row>
        <row r="90">
          <cell r="S90">
            <v>0</v>
          </cell>
          <cell r="Y90" t="str">
            <v/>
          </cell>
        </row>
        <row r="91">
          <cell r="S91">
            <v>0</v>
          </cell>
          <cell r="Y91" t="str">
            <v/>
          </cell>
        </row>
        <row r="92">
          <cell r="S92">
            <v>0</v>
          </cell>
          <cell r="Y92" t="str">
            <v/>
          </cell>
        </row>
        <row r="93">
          <cell r="S93">
            <v>0</v>
          </cell>
          <cell r="Y93" t="str">
            <v/>
          </cell>
        </row>
        <row r="94">
          <cell r="S94">
            <v>0</v>
          </cell>
          <cell r="Y94" t="str">
            <v/>
          </cell>
        </row>
        <row r="95">
          <cell r="S95">
            <v>0</v>
          </cell>
          <cell r="Y95" t="str">
            <v/>
          </cell>
        </row>
        <row r="96">
          <cell r="S96">
            <v>0</v>
          </cell>
          <cell r="Y96" t="str">
            <v/>
          </cell>
        </row>
        <row r="97">
          <cell r="S97">
            <v>0</v>
          </cell>
          <cell r="Y97" t="str">
            <v/>
          </cell>
        </row>
        <row r="98">
          <cell r="S98">
            <v>0</v>
          </cell>
          <cell r="Y98" t="str">
            <v/>
          </cell>
        </row>
        <row r="99">
          <cell r="S99">
            <v>0</v>
          </cell>
          <cell r="Y99" t="str">
            <v/>
          </cell>
        </row>
        <row r="100">
          <cell r="S100">
            <v>0</v>
          </cell>
          <cell r="Y100" t="str">
            <v/>
          </cell>
        </row>
        <row r="101">
          <cell r="S101">
            <v>0</v>
          </cell>
          <cell r="Y101" t="str">
            <v/>
          </cell>
        </row>
        <row r="102">
          <cell r="S102">
            <v>0</v>
          </cell>
          <cell r="Y102" t="str">
            <v/>
          </cell>
        </row>
        <row r="103">
          <cell r="S103">
            <v>0</v>
          </cell>
          <cell r="Y103" t="str">
            <v/>
          </cell>
        </row>
        <row r="104">
          <cell r="S104">
            <v>0</v>
          </cell>
          <cell r="Y104" t="str">
            <v/>
          </cell>
        </row>
        <row r="105">
          <cell r="S105">
            <v>0</v>
          </cell>
          <cell r="Y105" t="str">
            <v/>
          </cell>
        </row>
        <row r="106">
          <cell r="S106">
            <v>0</v>
          </cell>
          <cell r="Y106" t="str">
            <v/>
          </cell>
        </row>
        <row r="107">
          <cell r="S107">
            <v>0</v>
          </cell>
          <cell r="Y107" t="str">
            <v/>
          </cell>
        </row>
        <row r="108">
          <cell r="S108">
            <v>0</v>
          </cell>
          <cell r="Y108" t="str">
            <v/>
          </cell>
        </row>
        <row r="109">
          <cell r="S109">
            <v>0</v>
          </cell>
          <cell r="Y109" t="str">
            <v/>
          </cell>
        </row>
        <row r="110">
          <cell r="S110">
            <v>0</v>
          </cell>
          <cell r="Y110" t="str">
            <v/>
          </cell>
        </row>
        <row r="111">
          <cell r="S111">
            <v>0</v>
          </cell>
          <cell r="Y111" t="str">
            <v/>
          </cell>
        </row>
        <row r="112">
          <cell r="S112">
            <v>0</v>
          </cell>
          <cell r="Y112" t="str">
            <v/>
          </cell>
        </row>
        <row r="113">
          <cell r="S113">
            <v>0</v>
          </cell>
          <cell r="Y113" t="str">
            <v/>
          </cell>
        </row>
        <row r="114">
          <cell r="S114">
            <v>0</v>
          </cell>
          <cell r="Y114" t="str">
            <v/>
          </cell>
        </row>
        <row r="115">
          <cell r="S115">
            <v>0</v>
          </cell>
          <cell r="Y115" t="str">
            <v/>
          </cell>
        </row>
        <row r="116">
          <cell r="S116">
            <v>0</v>
          </cell>
          <cell r="Y116" t="str">
            <v/>
          </cell>
        </row>
        <row r="117">
          <cell r="S117">
            <v>0</v>
          </cell>
          <cell r="Y117" t="str">
            <v/>
          </cell>
        </row>
        <row r="118">
          <cell r="S118">
            <v>0</v>
          </cell>
          <cell r="Y118" t="str">
            <v/>
          </cell>
        </row>
        <row r="119">
          <cell r="S119">
            <v>0</v>
          </cell>
          <cell r="Y119" t="str">
            <v/>
          </cell>
        </row>
        <row r="120">
          <cell r="S120">
            <v>0</v>
          </cell>
          <cell r="Y120" t="str">
            <v/>
          </cell>
        </row>
        <row r="121">
          <cell r="S121">
            <v>0</v>
          </cell>
          <cell r="Y121" t="str">
            <v/>
          </cell>
        </row>
        <row r="122">
          <cell r="S122">
            <v>0</v>
          </cell>
          <cell r="Y122" t="str">
            <v/>
          </cell>
        </row>
        <row r="123">
          <cell r="S123">
            <v>0</v>
          </cell>
          <cell r="Y123" t="str">
            <v/>
          </cell>
        </row>
        <row r="124">
          <cell r="S124">
            <v>0</v>
          </cell>
          <cell r="Y124" t="str">
            <v/>
          </cell>
        </row>
        <row r="125">
          <cell r="S125">
            <v>0</v>
          </cell>
          <cell r="Y125" t="str">
            <v/>
          </cell>
        </row>
        <row r="126">
          <cell r="S126">
            <v>0</v>
          </cell>
          <cell r="Y126" t="str">
            <v/>
          </cell>
        </row>
        <row r="127">
          <cell r="S127">
            <v>0</v>
          </cell>
          <cell r="Y127" t="str">
            <v/>
          </cell>
        </row>
        <row r="128">
          <cell r="S128">
            <v>0</v>
          </cell>
          <cell r="Y128" t="str">
            <v/>
          </cell>
        </row>
        <row r="129">
          <cell r="S129">
            <v>0</v>
          </cell>
          <cell r="Y129" t="str">
            <v/>
          </cell>
        </row>
        <row r="130">
          <cell r="S130">
            <v>0</v>
          </cell>
          <cell r="Y130" t="str">
            <v/>
          </cell>
        </row>
        <row r="131">
          <cell r="S131">
            <v>0</v>
          </cell>
          <cell r="Y131" t="str">
            <v/>
          </cell>
        </row>
        <row r="132">
          <cell r="S132">
            <v>0</v>
          </cell>
          <cell r="Y132" t="str">
            <v/>
          </cell>
        </row>
        <row r="133">
          <cell r="S133">
            <v>0</v>
          </cell>
          <cell r="Y133" t="str">
            <v/>
          </cell>
        </row>
        <row r="134">
          <cell r="S134">
            <v>0</v>
          </cell>
          <cell r="Y134" t="str">
            <v/>
          </cell>
        </row>
        <row r="135">
          <cell r="S135">
            <v>0</v>
          </cell>
          <cell r="Y135" t="str">
            <v/>
          </cell>
        </row>
        <row r="136">
          <cell r="S136">
            <v>0</v>
          </cell>
          <cell r="Y136" t="str">
            <v/>
          </cell>
        </row>
        <row r="137">
          <cell r="S137">
            <v>0</v>
          </cell>
          <cell r="Y137" t="str">
            <v/>
          </cell>
        </row>
        <row r="138">
          <cell r="S138">
            <v>0</v>
          </cell>
          <cell r="Y138" t="str">
            <v/>
          </cell>
        </row>
        <row r="139">
          <cell r="S139">
            <v>0</v>
          </cell>
          <cell r="Y139" t="str">
            <v/>
          </cell>
        </row>
        <row r="140">
          <cell r="S140">
            <v>0</v>
          </cell>
          <cell r="Y140" t="str">
            <v/>
          </cell>
        </row>
        <row r="141">
          <cell r="S141">
            <v>0</v>
          </cell>
          <cell r="Y141" t="str">
            <v/>
          </cell>
        </row>
        <row r="142">
          <cell r="S142">
            <v>0</v>
          </cell>
          <cell r="Y142" t="str">
            <v/>
          </cell>
        </row>
        <row r="143">
          <cell r="S143">
            <v>0</v>
          </cell>
          <cell r="Y143" t="str">
            <v/>
          </cell>
        </row>
        <row r="144">
          <cell r="S144">
            <v>0</v>
          </cell>
          <cell r="Y144" t="str">
            <v/>
          </cell>
        </row>
        <row r="145">
          <cell r="S145">
            <v>0</v>
          </cell>
          <cell r="Y145" t="str">
            <v/>
          </cell>
        </row>
        <row r="146">
          <cell r="S146">
            <v>0</v>
          </cell>
          <cell r="Y146" t="str">
            <v/>
          </cell>
        </row>
        <row r="147">
          <cell r="S147">
            <v>0</v>
          </cell>
          <cell r="Y147" t="str">
            <v/>
          </cell>
        </row>
        <row r="148">
          <cell r="S148">
            <v>0</v>
          </cell>
          <cell r="Y148" t="str">
            <v/>
          </cell>
        </row>
        <row r="149">
          <cell r="S149">
            <v>0</v>
          </cell>
          <cell r="Y149" t="str">
            <v/>
          </cell>
        </row>
        <row r="150">
          <cell r="S150">
            <v>0</v>
          </cell>
          <cell r="Y150" t="str">
            <v/>
          </cell>
        </row>
        <row r="151">
          <cell r="S151">
            <v>0</v>
          </cell>
          <cell r="Y151" t="str">
            <v/>
          </cell>
        </row>
        <row r="152">
          <cell r="S152">
            <v>0</v>
          </cell>
          <cell r="Y152" t="str">
            <v/>
          </cell>
        </row>
        <row r="153">
          <cell r="S153">
            <v>0</v>
          </cell>
          <cell r="Y153" t="str">
            <v/>
          </cell>
        </row>
        <row r="154">
          <cell r="S154">
            <v>0</v>
          </cell>
          <cell r="Y154" t="str">
            <v/>
          </cell>
        </row>
        <row r="155">
          <cell r="S155">
            <v>0</v>
          </cell>
          <cell r="Y155" t="str">
            <v/>
          </cell>
        </row>
        <row r="156">
          <cell r="S156">
            <v>0</v>
          </cell>
          <cell r="Y156" t="str">
            <v/>
          </cell>
        </row>
        <row r="157">
          <cell r="S157">
            <v>0</v>
          </cell>
          <cell r="Y157" t="str">
            <v/>
          </cell>
        </row>
        <row r="158">
          <cell r="S158">
            <v>0</v>
          </cell>
          <cell r="Y158" t="str">
            <v/>
          </cell>
        </row>
        <row r="159">
          <cell r="S159">
            <v>0</v>
          </cell>
          <cell r="Y159" t="str">
            <v/>
          </cell>
        </row>
        <row r="160">
          <cell r="S160">
            <v>0</v>
          </cell>
          <cell r="Y160" t="str">
            <v/>
          </cell>
        </row>
        <row r="161">
          <cell r="S161">
            <v>0</v>
          </cell>
          <cell r="Y161" t="str">
            <v/>
          </cell>
        </row>
        <row r="162">
          <cell r="S162">
            <v>0</v>
          </cell>
          <cell r="Y162" t="str">
            <v/>
          </cell>
        </row>
        <row r="163">
          <cell r="S163">
            <v>0</v>
          </cell>
          <cell r="Y163" t="str">
            <v/>
          </cell>
        </row>
        <row r="164">
          <cell r="S164">
            <v>0</v>
          </cell>
          <cell r="Y164" t="str">
            <v/>
          </cell>
        </row>
        <row r="165">
          <cell r="S165">
            <v>0</v>
          </cell>
          <cell r="Y165" t="str">
            <v/>
          </cell>
        </row>
        <row r="166">
          <cell r="S166">
            <v>0</v>
          </cell>
          <cell r="Y166" t="str">
            <v/>
          </cell>
        </row>
        <row r="167">
          <cell r="S167">
            <v>0</v>
          </cell>
          <cell r="Y167" t="str">
            <v/>
          </cell>
        </row>
        <row r="168">
          <cell r="S168">
            <v>0</v>
          </cell>
          <cell r="Y168" t="str">
            <v/>
          </cell>
        </row>
        <row r="169">
          <cell r="S169">
            <v>0</v>
          </cell>
          <cell r="Y169" t="str">
            <v/>
          </cell>
        </row>
        <row r="170">
          <cell r="S170">
            <v>0</v>
          </cell>
          <cell r="Y170" t="str">
            <v/>
          </cell>
        </row>
        <row r="171">
          <cell r="S171">
            <v>0</v>
          </cell>
          <cell r="Y171" t="str">
            <v/>
          </cell>
        </row>
        <row r="172">
          <cell r="S172">
            <v>0</v>
          </cell>
          <cell r="Y172" t="str">
            <v/>
          </cell>
        </row>
        <row r="173">
          <cell r="S173">
            <v>0</v>
          </cell>
          <cell r="Y173" t="str">
            <v/>
          </cell>
        </row>
        <row r="174">
          <cell r="S174">
            <v>0</v>
          </cell>
          <cell r="Y174" t="str">
            <v/>
          </cell>
        </row>
        <row r="175">
          <cell r="S175">
            <v>0</v>
          </cell>
          <cell r="Y175" t="str">
            <v/>
          </cell>
        </row>
        <row r="176">
          <cell r="S176">
            <v>0</v>
          </cell>
          <cell r="Y176" t="str">
            <v/>
          </cell>
        </row>
        <row r="177">
          <cell r="S177">
            <v>0</v>
          </cell>
          <cell r="Y177" t="str">
            <v/>
          </cell>
        </row>
        <row r="178">
          <cell r="S178">
            <v>0</v>
          </cell>
          <cell r="Y178" t="str">
            <v/>
          </cell>
        </row>
        <row r="179">
          <cell r="S179">
            <v>0</v>
          </cell>
          <cell r="Y179" t="str">
            <v/>
          </cell>
        </row>
        <row r="180">
          <cell r="S180">
            <v>0</v>
          </cell>
          <cell r="Y180" t="str">
            <v/>
          </cell>
        </row>
        <row r="181">
          <cell r="S181">
            <v>0</v>
          </cell>
          <cell r="Y181" t="str">
            <v/>
          </cell>
        </row>
        <row r="182">
          <cell r="S182">
            <v>0</v>
          </cell>
          <cell r="Y182" t="str">
            <v/>
          </cell>
        </row>
        <row r="183">
          <cell r="S183">
            <v>0</v>
          </cell>
          <cell r="Y183" t="str">
            <v/>
          </cell>
        </row>
        <row r="184">
          <cell r="S184">
            <v>0</v>
          </cell>
          <cell r="Y184" t="str">
            <v/>
          </cell>
        </row>
        <row r="185">
          <cell r="S185">
            <v>0</v>
          </cell>
          <cell r="Y185" t="str">
            <v/>
          </cell>
        </row>
        <row r="186">
          <cell r="S186">
            <v>0</v>
          </cell>
          <cell r="Y186" t="str">
            <v/>
          </cell>
        </row>
        <row r="187">
          <cell r="S187">
            <v>0</v>
          </cell>
          <cell r="Y187" t="str">
            <v/>
          </cell>
        </row>
        <row r="188">
          <cell r="S188">
            <v>0</v>
          </cell>
          <cell r="Y188" t="str">
            <v/>
          </cell>
        </row>
        <row r="189">
          <cell r="S189">
            <v>0</v>
          </cell>
          <cell r="Y189" t="str">
            <v/>
          </cell>
        </row>
        <row r="190">
          <cell r="S190">
            <v>0</v>
          </cell>
          <cell r="Y190" t="str">
            <v/>
          </cell>
        </row>
        <row r="191">
          <cell r="S191">
            <v>0</v>
          </cell>
          <cell r="Y191" t="str">
            <v/>
          </cell>
        </row>
        <row r="192">
          <cell r="S192">
            <v>0</v>
          </cell>
          <cell r="Y192" t="str">
            <v/>
          </cell>
        </row>
        <row r="193">
          <cell r="S193">
            <v>0</v>
          </cell>
          <cell r="Y193" t="str">
            <v/>
          </cell>
        </row>
        <row r="194">
          <cell r="S194">
            <v>0</v>
          </cell>
          <cell r="Y194" t="str">
            <v/>
          </cell>
        </row>
        <row r="195">
          <cell r="S195">
            <v>0</v>
          </cell>
          <cell r="Y195" t="str">
            <v/>
          </cell>
        </row>
        <row r="196">
          <cell r="S196">
            <v>0</v>
          </cell>
          <cell r="Y196" t="str">
            <v/>
          </cell>
        </row>
        <row r="197">
          <cell r="S197">
            <v>0</v>
          </cell>
          <cell r="Y197" t="str">
            <v/>
          </cell>
        </row>
        <row r="198">
          <cell r="S198">
            <v>0</v>
          </cell>
          <cell r="Y198" t="str">
            <v/>
          </cell>
        </row>
        <row r="199">
          <cell r="S199">
            <v>0</v>
          </cell>
          <cell r="Y199" t="str">
            <v/>
          </cell>
        </row>
        <row r="200">
          <cell r="S200">
            <v>0</v>
          </cell>
          <cell r="Y200" t="str">
            <v/>
          </cell>
        </row>
        <row r="201">
          <cell r="S201">
            <v>0</v>
          </cell>
          <cell r="Y201" t="str">
            <v/>
          </cell>
        </row>
        <row r="202">
          <cell r="S202">
            <v>0</v>
          </cell>
          <cell r="Y202" t="str">
            <v/>
          </cell>
        </row>
        <row r="203">
          <cell r="S203">
            <v>0</v>
          </cell>
          <cell r="Y203" t="str">
            <v/>
          </cell>
        </row>
        <row r="204">
          <cell r="S204">
            <v>0</v>
          </cell>
          <cell r="Y204" t="str">
            <v/>
          </cell>
        </row>
        <row r="205">
          <cell r="S205">
            <v>0</v>
          </cell>
          <cell r="Y205" t="str">
            <v/>
          </cell>
        </row>
        <row r="206">
          <cell r="S206">
            <v>0</v>
          </cell>
          <cell r="Y206" t="str">
            <v/>
          </cell>
        </row>
        <row r="207">
          <cell r="S207">
            <v>0</v>
          </cell>
          <cell r="Y207" t="str">
            <v/>
          </cell>
        </row>
      </sheetData>
      <sheetData sheetId="3"/>
      <sheetData sheetId="4"/>
      <sheetData sheetId="5"/>
      <sheetData sheetId="6">
        <row r="3">
          <cell r="B3" t="str">
            <v>ASE/SPARC Maintenance/Repairs</v>
          </cell>
        </row>
        <row r="4">
          <cell r="B4" t="str">
            <v>Drive Brackets</v>
          </cell>
        </row>
        <row r="5">
          <cell r="B5" t="str">
            <v>Sparc CPU</v>
          </cell>
        </row>
        <row r="6">
          <cell r="B6" t="str">
            <v>T93</v>
          </cell>
        </row>
        <row r="7">
          <cell r="B7" t="str">
            <v>C2-ROT</v>
          </cell>
        </row>
        <row r="8">
          <cell r="B8" t="str">
            <v>ZS7-2</v>
          </cell>
        </row>
        <row r="9">
          <cell r="B9" t="str">
            <v>G3-8</v>
          </cell>
        </row>
        <row r="10">
          <cell r="B10" t="str">
            <v>A1-2c</v>
          </cell>
        </row>
        <row r="11">
          <cell r="B11" t="str">
            <v>E4-2c</v>
          </cell>
        </row>
        <row r="12">
          <cell r="B12" t="str">
            <v>X10-2C</v>
          </cell>
        </row>
        <row r="13">
          <cell r="B13" t="str">
            <v>C2 Chassis</v>
          </cell>
        </row>
        <row r="14">
          <cell r="B14" t="str">
            <v>Open Switching</v>
          </cell>
        </row>
        <row r="15">
          <cell r="B15" t="str">
            <v>Ortano</v>
          </cell>
        </row>
        <row r="16">
          <cell r="B16" t="str">
            <v>E5-2C</v>
          </cell>
        </row>
        <row r="17">
          <cell r="B17" t="str">
            <v>A2-2C</v>
          </cell>
        </row>
        <row r="18">
          <cell r="B18" t="str">
            <v>OTEC</v>
          </cell>
        </row>
        <row r="19">
          <cell r="B19" t="str">
            <v>M8</v>
          </cell>
        </row>
        <row r="20">
          <cell r="B20" t="str">
            <v>VEGA</v>
          </cell>
        </row>
        <row r="21">
          <cell r="B21" t="str">
            <v>C2 Cabinet Rack</v>
          </cell>
        </row>
        <row r="22">
          <cell r="B22" t="str">
            <v>Branding</v>
          </cell>
        </row>
        <row r="23">
          <cell r="B23" t="str">
            <v>S7-2/L</v>
          </cell>
        </row>
        <row r="24">
          <cell r="B24" t="str">
            <v>X10-2L</v>
          </cell>
        </row>
        <row r="25">
          <cell r="B25" t="str">
            <v>X10-8</v>
          </cell>
        </row>
        <row r="26">
          <cell r="B26" t="str">
            <v>Micros</v>
          </cell>
        </row>
        <row r="27">
          <cell r="B27" t="str">
            <v>Test infrastructure/Sustaining</v>
          </cell>
        </row>
        <row r="28">
          <cell r="B28" t="str">
            <v>Test Infrastructure/NPI</v>
          </cell>
        </row>
        <row r="29">
          <cell r="B29" t="str">
            <v>T8</v>
          </cell>
        </row>
        <row r="30">
          <cell r="B30" t="str">
            <v>Engineered Systems</v>
          </cell>
        </row>
        <row r="31">
          <cell r="B31" t="str">
            <v>X7-2C</v>
          </cell>
        </row>
        <row r="32">
          <cell r="B32" t="str">
            <v>SL150</v>
          </cell>
        </row>
        <row r="33">
          <cell r="B33" t="str">
            <v>SL4000</v>
          </cell>
        </row>
        <row r="34">
          <cell r="B34" t="str">
            <v>Acme</v>
          </cell>
        </row>
        <row r="35">
          <cell r="B35" t="str">
            <v>CLM Exadata</v>
          </cell>
        </row>
        <row r="36">
          <cell r="B36" t="str">
            <v>Tekelec</v>
          </cell>
        </row>
        <row r="37">
          <cell r="B37" t="str">
            <v>RSL</v>
          </cell>
        </row>
        <row r="38">
          <cell r="B38" t="str">
            <v>E1-2C</v>
          </cell>
        </row>
        <row r="39">
          <cell r="B39" t="str">
            <v>X8-2</v>
          </cell>
        </row>
        <row r="40">
          <cell r="B40" t="str">
            <v xml:space="preserve">Talari </v>
          </cell>
        </row>
        <row r="41">
          <cell r="B41" t="str">
            <v>X8-2L</v>
          </cell>
        </row>
        <row r="42">
          <cell r="B42" t="str">
            <v>X8-8</v>
          </cell>
        </row>
        <row r="43">
          <cell r="B43" t="str">
            <v>X9-2</v>
          </cell>
        </row>
        <row r="44">
          <cell r="B44" t="str">
            <v>X9-2L</v>
          </cell>
        </row>
        <row r="45">
          <cell r="B45" t="str">
            <v xml:space="preserve">X9-2C </v>
          </cell>
        </row>
        <row r="46">
          <cell r="B46" t="str">
            <v>E2-2C</v>
          </cell>
        </row>
      </sheetData>
      <sheetData sheetId="7"/>
    </sheetDataSet>
  </externalBook>
</externalLink>
</file>

<file path=xl/theme/theme1.xml><?xml version="1.0" encoding="utf-8"?>
<a:theme xmlns:a="http://schemas.openxmlformats.org/drawingml/2006/main" name="Oracle Redwood Excel 04-2020">
  <a:themeElements>
    <a:clrScheme name="Oracle Redwood 09112020">
      <a:dk1>
        <a:srgbClr val="312D2A"/>
      </a:dk1>
      <a:lt1>
        <a:srgbClr val="FCFBFA"/>
      </a:lt1>
      <a:dk2>
        <a:srgbClr val="312D2A"/>
      </a:dk2>
      <a:lt2>
        <a:srgbClr val="FCFBFA"/>
      </a:lt2>
      <a:accent1>
        <a:srgbClr val="C74634"/>
      </a:accent1>
      <a:accent2>
        <a:srgbClr val="FACD62"/>
      </a:accent2>
      <a:accent3>
        <a:srgbClr val="94AFAF"/>
      </a:accent3>
      <a:accent4>
        <a:srgbClr val="2B6242"/>
      </a:accent4>
      <a:accent5>
        <a:srgbClr val="AE562C"/>
      </a:accent5>
      <a:accent6>
        <a:srgbClr val="759C6C"/>
      </a:accent6>
      <a:hlink>
        <a:srgbClr val="00688C"/>
      </a:hlink>
      <a:folHlink>
        <a:srgbClr val="00688C"/>
      </a:folHlink>
    </a:clrScheme>
    <a:fontScheme name="Oracle TAB">
      <a:majorFont>
        <a:latin typeface="Georgia"/>
        <a:ea typeface=""/>
        <a:cs typeface=""/>
      </a:majorFont>
      <a:minorFont>
        <a:latin typeface="Oracle Sans Tab"/>
        <a:ea typeface=""/>
        <a:cs typeface=""/>
      </a:minorFont>
    </a:fontScheme>
    <a:fmtScheme name="Flat">
      <a:fillStyleLst>
        <a:solidFill>
          <a:schemeClr val="phClr"/>
        </a:solidFill>
        <a:solidFill>
          <a:schemeClr val="phClr">
            <a:tint val="50000"/>
          </a:schemeClr>
        </a:solidFill>
        <a:solidFill>
          <a:schemeClr val="phClr">
            <a:shade val="65000"/>
          </a:schemeClr>
        </a:solidFill>
      </a:fillStyleLst>
      <a:lnStyleLst>
        <a:ln w="3175" cap="flat" cmpd="sng" algn="ctr">
          <a:solidFill>
            <a:schemeClr val="phClr">
              <a:shade val="65000"/>
            </a:schemeClr>
          </a:solidFill>
          <a:prstDash val="solid"/>
        </a:ln>
        <a:ln w="3175" cap="flat" cmpd="sng" algn="ctr">
          <a:solidFill>
            <a:schemeClr val="phClr"/>
          </a:solidFill>
          <a:prstDash val="solid"/>
        </a:ln>
        <a:ln w="0" cap="flat" cmpd="sng" algn="ctr">
          <a:noFill/>
        </a:ln>
      </a:lnStyleLst>
      <a:effectStyleLst>
        <a:effectStyle>
          <a:effectLst>
            <a:blur/>
          </a:effectLst>
        </a:effectStyle>
        <a:effectStyle>
          <a:effectLst>
            <a:blur/>
          </a:effectLst>
        </a:effectStyle>
        <a:effectStyle>
          <a:effectLst>
            <a:fillOverlay blend="darken">
              <a:solidFill>
                <a:schemeClr val="phClr">
                  <a:shade val="30000"/>
                </a:schemeClr>
              </a:solidFill>
            </a:fillOverlay>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Ocean">
      <a:srgbClr val="2C5967"/>
    </a:custClr>
    <a:custClr name="Surf">
      <a:srgbClr val="41817E"/>
    </a:custClr>
    <a:custClr name="Sand">
      <a:srgbClr val="E5DBBE"/>
    </a:custClr>
    <a:custClr name="Pebble">
      <a:srgbClr val="8B8580"/>
    </a:custClr>
    <a:custClr name="Granite">
      <a:srgbClr val="67605B"/>
    </a:custClr>
    <a:custClr name="Position 6">
      <a:srgbClr val="FFFFFF"/>
    </a:custClr>
    <a:custClr name="Highlight/hyperlink dark theme">
      <a:srgbClr val="F0CC71"/>
    </a:custClr>
    <a:custClr name="Highlight/numbered list light theme">
      <a:srgbClr val="AE562C"/>
    </a:custClr>
    <a:custClr name="Hyperlink light theme (default)">
      <a:srgbClr val="2C5967"/>
    </a:custClr>
    <a:custClr name="Numbered list dark theme">
      <a:srgbClr val="759C6C"/>
    </a:custClr>
    <a:custClr name="Brand: Neutral 30">
      <a:srgbClr val="F1EFED"/>
    </a:custClr>
    <a:custClr name="Developer: Pebble 30">
      <a:srgbClr val="E7F0FD"/>
    </a:custClr>
    <a:custClr name="Database: Slate 30">
      <a:srgbClr val="E7F2F2"/>
    </a:custClr>
    <a:custClr name="Cloud Platform: Pine 30">
      <a:srgbClr val="E0F5E7"/>
    </a:custClr>
    <a:custClr name="Finance / Operations: Teal 30">
      <a:srgbClr val="E8F1F0"/>
    </a:custClr>
    <a:custClr name="NetSuite: Ocean 30">
      <a:srgbClr val="E7F2F5"/>
    </a:custClr>
    <a:custClr name="GBU: Lilac 30">
      <a:srgbClr val="EBEFFE"/>
    </a:custClr>
    <a:custClr name="CX/Marketing: Plum 30">
      <a:srgbClr val="F5ECFB"/>
    </a:custClr>
    <a:custClr name="HCM/HR: Rose 30">
      <a:srgbClr val="FBECEF"/>
    </a:custClr>
    <a:custClr name="SCM: Sienna 30">
      <a:srgbClr val="FCEDD9"/>
    </a:custClr>
    <a:custClr name="Brand: Neutral 70">
      <a:srgbClr val="AEA8A2"/>
    </a:custClr>
    <a:custClr name="Developer: Pebble 70">
      <a:srgbClr val="A2AAB6"/>
    </a:custClr>
    <a:custClr name="Database: Slate 70">
      <a:srgbClr val="99ADAE"/>
    </a:custClr>
    <a:custClr name="Cloud Platform: Pine 70">
      <a:srgbClr val="86B596"/>
    </a:custClr>
    <a:custClr name="Finance / Operations: Teal 70">
      <a:srgbClr val="89B2B0"/>
    </a:custClr>
    <a:custClr name="NetSuite: Ocean 70">
      <a:srgbClr val="81B2C3"/>
    </a:custClr>
    <a:custClr name="GBU: Lilac 70">
      <a:srgbClr val="A0A9C5"/>
    </a:custClr>
    <a:custClr name="CX/Marketing: Plum 70">
      <a:srgbClr val="B7A1C4"/>
    </a:custClr>
    <a:custClr name="HCM/HR: Rose 70">
      <a:srgbClr val="CE9BA7"/>
    </a:custClr>
    <a:custClr name="SCM: Sienna 70">
      <a:srgbClr val="D39F5D"/>
    </a:custClr>
    <a:custClr name="Brand: Neutral 140">
      <a:srgbClr val="514C47"/>
    </a:custClr>
    <a:custClr name="Developer: Pebble 140">
      <a:srgbClr val="494D53"/>
    </a:custClr>
    <a:custClr name="Database: Slate 140">
      <a:srgbClr val="464F4F"/>
    </a:custClr>
    <a:custClr name="Cloud Platform: Pine 140">
      <a:srgbClr val="33553C"/>
    </a:custClr>
    <a:custClr name="Finance / Operations: Teal 140">
      <a:srgbClr val="315357"/>
    </a:custClr>
    <a:custClr name="NetSuite: Ocean 140">
      <a:srgbClr val="2C5266"/>
    </a:custClr>
    <a:custClr name="GBU: Lilac 140">
      <a:srgbClr val="464C68"/>
    </a:custClr>
    <a:custClr name="CX/Marketing: Plum 140">
      <a:srgbClr val="594564"/>
    </a:custClr>
    <a:custClr name="HCM/HR: Rose 140">
      <a:srgbClr val="6C3F49"/>
    </a:custClr>
    <a:custClr name="SCM: Sienna 140">
      <a:srgbClr val="713F25"/>
    </a:custClr>
    <a:custClr name="Brand: Neutral 170">
      <a:srgbClr val="312D2A"/>
    </a:custClr>
    <a:custClr name="Developer: Pebble 170">
      <a:srgbClr val="2B2E32"/>
    </a:custClr>
    <a:custClr name="Database: Slate 170">
      <a:srgbClr val="2A2F2F"/>
    </a:custClr>
    <a:custClr name="Cloud Platform: Pine 170">
      <a:srgbClr val="1E3224"/>
    </a:custClr>
    <a:custClr name="Finance / Operations: Teal 170">
      <a:srgbClr val="1E3133"/>
    </a:custClr>
    <a:custClr name="NetSuite: Ocean 170">
      <a:srgbClr val="1A2F3F"/>
    </a:custClr>
    <a:custClr name="GBU: Lilac 170">
      <a:srgbClr val="2A2D3F"/>
    </a:custClr>
    <a:custClr name="CX/Marketing: Plum 170">
      <a:srgbClr val="36293C"/>
    </a:custClr>
    <a:custClr name="HCM/HR: Rose 170">
      <a:srgbClr val="41242B"/>
    </a:custClr>
    <a:custClr name="SCM: Sienna 170">
      <a:srgbClr val="442616"/>
    </a:custClr>
  </a:custClr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8"/>
  <sheetViews>
    <sheetView workbookViewId="0">
      <selection activeCell="A6" sqref="A6"/>
    </sheetView>
  </sheetViews>
  <sheetFormatPr defaultRowHeight="13.5"/>
  <sheetData>
    <row r="1" spans="1:11" s="1" customFormat="1" ht="29.1" customHeight="1">
      <c r="A1" s="36"/>
      <c r="B1" s="36"/>
      <c r="D1" s="2"/>
      <c r="E1" s="2"/>
      <c r="F1" s="2"/>
      <c r="G1" s="2"/>
      <c r="H1" s="2"/>
      <c r="I1" s="3"/>
    </row>
    <row r="2" spans="1:11" s="1" customFormat="1" ht="22.5" customHeight="1">
      <c r="A2" s="37" t="s">
        <v>60</v>
      </c>
      <c r="B2" s="37"/>
      <c r="C2" s="37"/>
      <c r="D2" s="37"/>
      <c r="E2" s="37"/>
      <c r="F2" s="37"/>
      <c r="G2" s="37"/>
      <c r="H2" s="37"/>
      <c r="I2" s="37"/>
      <c r="J2" s="37"/>
      <c r="K2" s="37"/>
    </row>
    <row r="3" spans="1:11" s="1" customFormat="1" ht="17.45" customHeight="1">
      <c r="A3" s="38" t="s">
        <v>63</v>
      </c>
      <c r="B3" s="38"/>
      <c r="C3" s="38"/>
      <c r="D3" s="2"/>
      <c r="E3" s="2"/>
      <c r="F3" s="2"/>
      <c r="G3" s="2"/>
      <c r="H3" s="2"/>
      <c r="I3" s="3"/>
    </row>
    <row r="4" spans="1:11" s="1" customFormat="1">
      <c r="A4" s="4" t="s">
        <v>61</v>
      </c>
      <c r="B4" s="4"/>
      <c r="C4" s="4"/>
      <c r="D4" s="5"/>
      <c r="E4" s="6"/>
      <c r="F4" s="6"/>
      <c r="G4" s="6"/>
      <c r="H4" s="6"/>
      <c r="I4" s="6"/>
    </row>
    <row r="5" spans="1:11" s="1" customFormat="1">
      <c r="A5" s="39" t="s">
        <v>85</v>
      </c>
      <c r="B5" s="39"/>
      <c r="C5" s="6"/>
      <c r="D5" s="6"/>
      <c r="E5" s="6"/>
      <c r="F5" s="6"/>
      <c r="G5" s="6"/>
    </row>
    <row r="6" spans="1:11" s="1" customFormat="1">
      <c r="A6" s="7" t="s">
        <v>86</v>
      </c>
      <c r="B6" s="8"/>
      <c r="C6" s="8"/>
      <c r="D6" s="8"/>
      <c r="E6" s="8"/>
      <c r="F6" s="8"/>
      <c r="G6" s="6"/>
      <c r="H6" s="6"/>
      <c r="I6" s="6"/>
      <c r="K6" s="5" t="s">
        <v>62</v>
      </c>
    </row>
    <row r="7" spans="1:11" s="1" customFormat="1" ht="3.6" customHeight="1">
      <c r="A7" s="40"/>
      <c r="B7" s="40"/>
      <c r="C7" s="40"/>
      <c r="D7" s="40"/>
      <c r="E7" s="40"/>
      <c r="F7" s="40"/>
      <c r="G7" s="40"/>
      <c r="H7" s="40"/>
      <c r="I7" s="40"/>
      <c r="J7" s="40"/>
      <c r="K7" s="40"/>
    </row>
    <row r="8" spans="1:11" s="1" customFormat="1"/>
  </sheetData>
  <mergeCells count="5">
    <mergeCell ref="A1:B1"/>
    <mergeCell ref="A2:K2"/>
    <mergeCell ref="A3:C3"/>
    <mergeCell ref="A5:B5"/>
    <mergeCell ref="A7:K7"/>
  </mergeCells>
  <phoneticPr fontId="19"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20"/>
  <sheetViews>
    <sheetView showGridLines="0" zoomScale="70" zoomScaleNormal="70" workbookViewId="0">
      <selection activeCell="B12" sqref="B12:N12"/>
    </sheetView>
  </sheetViews>
  <sheetFormatPr defaultColWidth="8.75" defaultRowHeight="16.5"/>
  <cols>
    <col min="1" max="1" width="8.75" style="9"/>
    <col min="2" max="2" width="20.5" style="9" customWidth="1"/>
    <col min="3" max="16384" width="8.75" style="9"/>
  </cols>
  <sheetData>
    <row r="2" spans="2:14">
      <c r="B2" s="35" t="s">
        <v>81</v>
      </c>
    </row>
    <row r="3" spans="2:14">
      <c r="B3" s="9" t="s">
        <v>79</v>
      </c>
    </row>
    <row r="4" spans="2:14">
      <c r="B4" s="9" t="s">
        <v>80</v>
      </c>
    </row>
    <row r="6" spans="2:14" ht="17.25" thickBot="1"/>
    <row r="7" spans="2:14" ht="23.45" customHeight="1">
      <c r="B7" s="10" t="s">
        <v>64</v>
      </c>
      <c r="C7" s="11"/>
      <c r="D7" s="11"/>
      <c r="E7" s="11"/>
      <c r="F7" s="11"/>
      <c r="G7" s="11"/>
      <c r="H7" s="11"/>
      <c r="I7" s="11"/>
      <c r="J7" s="11"/>
      <c r="K7" s="11"/>
      <c r="L7" s="11"/>
      <c r="M7" s="11"/>
      <c r="N7" s="12"/>
    </row>
    <row r="8" spans="2:14" ht="26.1" customHeight="1">
      <c r="B8" s="13" t="s">
        <v>65</v>
      </c>
      <c r="C8" s="14"/>
      <c r="D8" s="14"/>
      <c r="E8" s="14"/>
      <c r="F8" s="14"/>
      <c r="G8" s="14"/>
      <c r="H8" s="14"/>
      <c r="I8" s="14"/>
      <c r="J8" s="14"/>
      <c r="K8" s="14"/>
      <c r="L8" s="14"/>
      <c r="M8" s="14"/>
      <c r="N8" s="15"/>
    </row>
    <row r="9" spans="2:14" ht="63" customHeight="1">
      <c r="B9" s="41" t="s">
        <v>76</v>
      </c>
      <c r="C9" s="42"/>
      <c r="D9" s="42"/>
      <c r="E9" s="42"/>
      <c r="F9" s="42"/>
      <c r="G9" s="42"/>
      <c r="H9" s="42"/>
      <c r="I9" s="42"/>
      <c r="J9" s="42"/>
      <c r="K9" s="42"/>
      <c r="L9" s="42"/>
      <c r="M9" s="42"/>
      <c r="N9" s="43"/>
    </row>
    <row r="10" spans="2:14" ht="101.45" customHeight="1">
      <c r="B10" s="41" t="s">
        <v>82</v>
      </c>
      <c r="C10" s="42"/>
      <c r="D10" s="42"/>
      <c r="E10" s="42"/>
      <c r="F10" s="42"/>
      <c r="G10" s="42"/>
      <c r="H10" s="42"/>
      <c r="I10" s="42"/>
      <c r="J10" s="42"/>
      <c r="K10" s="42"/>
      <c r="L10" s="42"/>
      <c r="M10" s="42"/>
      <c r="N10" s="43"/>
    </row>
    <row r="11" spans="2:14" ht="36.6" customHeight="1">
      <c r="B11" s="13" t="s">
        <v>66</v>
      </c>
      <c r="C11" s="14"/>
      <c r="D11" s="14"/>
      <c r="E11" s="14"/>
      <c r="F11" s="14"/>
      <c r="G11" s="14"/>
      <c r="H11" s="14"/>
      <c r="I11" s="14"/>
      <c r="J11" s="14"/>
      <c r="K11" s="14"/>
      <c r="L11" s="14"/>
      <c r="M11" s="14"/>
      <c r="N11" s="15"/>
    </row>
    <row r="12" spans="2:14" ht="18.95" customHeight="1">
      <c r="B12" s="44" t="s">
        <v>75</v>
      </c>
      <c r="C12" s="45"/>
      <c r="D12" s="45"/>
      <c r="E12" s="45"/>
      <c r="F12" s="45"/>
      <c r="G12" s="45"/>
      <c r="H12" s="45"/>
      <c r="I12" s="45"/>
      <c r="J12" s="45"/>
      <c r="K12" s="45"/>
      <c r="L12" s="45"/>
      <c r="M12" s="45"/>
      <c r="N12" s="46"/>
    </row>
    <row r="13" spans="2:14">
      <c r="B13" s="16"/>
      <c r="C13" s="14"/>
      <c r="D13" s="14"/>
      <c r="E13" s="14"/>
      <c r="F13" s="14"/>
      <c r="G13" s="14"/>
      <c r="H13" s="14"/>
      <c r="I13" s="14"/>
      <c r="J13" s="14"/>
      <c r="K13" s="14"/>
      <c r="L13" s="14"/>
      <c r="M13" s="14"/>
      <c r="N13" s="15"/>
    </row>
    <row r="14" spans="2:14">
      <c r="B14" s="44" t="s">
        <v>74</v>
      </c>
      <c r="C14" s="45"/>
      <c r="D14" s="45"/>
      <c r="E14" s="45"/>
      <c r="F14" s="45"/>
      <c r="G14" s="45"/>
      <c r="H14" s="45"/>
      <c r="I14" s="45"/>
      <c r="J14" s="45"/>
      <c r="K14" s="45"/>
      <c r="L14" s="45"/>
      <c r="M14" s="45"/>
      <c r="N14" s="46"/>
    </row>
    <row r="15" spans="2:14">
      <c r="B15" s="17" t="s">
        <v>67</v>
      </c>
      <c r="C15" s="14"/>
      <c r="D15" s="14"/>
      <c r="E15" s="14"/>
      <c r="F15" s="14"/>
      <c r="G15" s="14"/>
      <c r="H15" s="14"/>
      <c r="I15" s="14"/>
      <c r="J15" s="14"/>
      <c r="K15" s="14"/>
      <c r="L15" s="14"/>
      <c r="M15" s="14"/>
      <c r="N15" s="15"/>
    </row>
    <row r="16" spans="2:14">
      <c r="B16" s="17" t="s">
        <v>77</v>
      </c>
      <c r="C16" s="14"/>
      <c r="D16" s="14"/>
      <c r="E16" s="14"/>
      <c r="F16" s="14"/>
      <c r="G16" s="14"/>
      <c r="H16" s="14"/>
      <c r="I16" s="14"/>
      <c r="J16" s="14"/>
      <c r="K16" s="14"/>
      <c r="L16" s="14"/>
      <c r="M16" s="14"/>
      <c r="N16" s="15"/>
    </row>
    <row r="17" spans="2:14">
      <c r="B17" s="17"/>
      <c r="C17" s="14"/>
      <c r="D17" s="14"/>
      <c r="E17" s="14"/>
      <c r="F17" s="14"/>
      <c r="G17" s="14"/>
      <c r="H17" s="14"/>
      <c r="I17" s="14"/>
      <c r="J17" s="14"/>
      <c r="K17" s="14"/>
      <c r="L17" s="14"/>
      <c r="M17" s="14"/>
      <c r="N17" s="15"/>
    </row>
    <row r="18" spans="2:14" ht="51.6" customHeight="1">
      <c r="B18" s="41" t="s">
        <v>78</v>
      </c>
      <c r="C18" s="42"/>
      <c r="D18" s="42"/>
      <c r="E18" s="42"/>
      <c r="F18" s="42"/>
      <c r="G18" s="42"/>
      <c r="H18" s="42"/>
      <c r="I18" s="42"/>
      <c r="J18" s="42"/>
      <c r="K18" s="42"/>
      <c r="L18" s="42"/>
      <c r="M18" s="42"/>
      <c r="N18" s="43"/>
    </row>
    <row r="19" spans="2:14" ht="17.25" thickBot="1">
      <c r="B19" s="18"/>
      <c r="C19" s="19"/>
      <c r="D19" s="19"/>
      <c r="E19" s="19"/>
      <c r="F19" s="19"/>
      <c r="G19" s="19"/>
      <c r="H19" s="19"/>
      <c r="I19" s="19"/>
      <c r="J19" s="19"/>
      <c r="K19" s="19"/>
      <c r="L19" s="19"/>
      <c r="M19" s="19"/>
      <c r="N19" s="20"/>
    </row>
    <row r="20" spans="2:14">
      <c r="B20" s="14"/>
      <c r="C20" s="14"/>
      <c r="D20" s="14"/>
      <c r="E20" s="14"/>
      <c r="F20" s="14"/>
      <c r="G20" s="14"/>
      <c r="H20" s="14"/>
      <c r="I20" s="14"/>
      <c r="J20" s="14"/>
      <c r="K20" s="14"/>
      <c r="L20" s="14"/>
      <c r="M20" s="14"/>
      <c r="N20" s="14"/>
    </row>
  </sheetData>
  <mergeCells count="5">
    <mergeCell ref="B18:N18"/>
    <mergeCell ref="B9:N9"/>
    <mergeCell ref="B10:N10"/>
    <mergeCell ref="B12:N12"/>
    <mergeCell ref="B14:N14"/>
  </mergeCells>
  <phoneticPr fontId="19" type="noConversion"/>
  <pageMargins left="0.7" right="0.7" top="0.75" bottom="0.75" header="0.3" footer="0.3"/>
  <pageSetup orientation="portrait" horizontalDpi="4294967293" r:id="rId1"/>
  <headerFooter>
    <oddFooter>&amp;LPROC-10094&amp;COracle Confidential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H6"/>
  <sheetViews>
    <sheetView tabSelected="1" zoomScale="50" zoomScaleNormal="50" workbookViewId="0">
      <pane xSplit="10" ySplit="2" topLeftCell="K3" activePane="bottomRight" state="frozen"/>
      <selection pane="topRight" activeCell="K1" sqref="K1"/>
      <selection pane="bottomLeft" activeCell="A3" sqref="A3"/>
      <selection pane="bottomRight" activeCell="I15" sqref="I15"/>
    </sheetView>
  </sheetViews>
  <sheetFormatPr defaultColWidth="8.625" defaultRowHeight="16.5"/>
  <cols>
    <col min="1" max="1" width="5.625" style="29" bestFit="1" customWidth="1"/>
    <col min="2" max="2" width="8.375" style="29" bestFit="1" customWidth="1"/>
    <col min="3" max="3" width="10.875" style="29" bestFit="1" customWidth="1"/>
    <col min="4" max="4" width="14.75" style="29" customWidth="1"/>
    <col min="5" max="5" width="20.125" style="29" bestFit="1" customWidth="1"/>
    <col min="6" max="6" width="8.625" style="29"/>
    <col min="7" max="7" width="14.25" style="29" customWidth="1"/>
    <col min="8" max="8" width="8.875" style="29" bestFit="1" customWidth="1"/>
    <col min="9" max="9" width="12.875" style="29" customWidth="1"/>
    <col min="10" max="10" width="17.125" style="29" bestFit="1" customWidth="1"/>
    <col min="11" max="11" width="20.125" style="29" bestFit="1" customWidth="1"/>
    <col min="12" max="12" width="18.625" style="29" bestFit="1" customWidth="1"/>
    <col min="13" max="13" width="17.875" style="29" customWidth="1"/>
    <col min="14" max="14" width="15.5" style="29" customWidth="1"/>
    <col min="15" max="15" width="8.625" style="29"/>
    <col min="16" max="16" width="15.5" style="29" customWidth="1"/>
    <col min="17" max="18" width="8.875" style="29" bestFit="1" customWidth="1"/>
    <col min="19" max="19" width="19" style="29" customWidth="1"/>
    <col min="20" max="20" width="13.875" style="29" bestFit="1" customWidth="1"/>
    <col min="21" max="21" width="8.875" style="29" bestFit="1" customWidth="1"/>
    <col min="22" max="22" width="17" style="29" bestFit="1" customWidth="1"/>
    <col min="23" max="23" width="17.5" style="29" bestFit="1" customWidth="1"/>
    <col min="24" max="24" width="11.875" style="29" customWidth="1"/>
    <col min="25" max="25" width="12.625" style="29" customWidth="1"/>
    <col min="26" max="26" width="13.625" style="29" customWidth="1"/>
    <col min="27" max="27" width="12.5" style="29" customWidth="1"/>
    <col min="28" max="28" width="18.625" style="29" customWidth="1"/>
    <col min="29" max="29" width="17" style="29" customWidth="1"/>
    <col min="30" max="30" width="17.625" style="34" customWidth="1"/>
    <col min="31" max="31" width="14.375" style="29" customWidth="1"/>
    <col min="32" max="32" width="26.625" style="29" customWidth="1"/>
    <col min="33" max="33" width="21" style="29" customWidth="1"/>
    <col min="34" max="34" width="11.5" style="29" customWidth="1"/>
    <col min="35" max="16384" width="8.625" style="29"/>
  </cols>
  <sheetData>
    <row r="1" spans="1:34" s="30" customFormat="1" ht="95.1" customHeight="1">
      <c r="A1" s="47" t="s">
        <v>0</v>
      </c>
      <c r="B1" s="47"/>
      <c r="C1" s="47"/>
      <c r="D1" s="47"/>
      <c r="E1" s="47"/>
      <c r="F1" s="47"/>
      <c r="G1" s="47"/>
      <c r="H1" s="47"/>
      <c r="I1" s="47"/>
      <c r="J1" s="47"/>
      <c r="K1" s="48" t="s">
        <v>84</v>
      </c>
      <c r="L1" s="48"/>
      <c r="M1" s="48"/>
      <c r="N1" s="49" t="s">
        <v>0</v>
      </c>
      <c r="O1" s="49"/>
      <c r="P1" s="49"/>
      <c r="Q1" s="49"/>
      <c r="R1" s="49"/>
      <c r="S1" s="49"/>
      <c r="T1" s="49"/>
      <c r="U1" s="49"/>
      <c r="V1" s="49"/>
      <c r="W1" s="49"/>
      <c r="X1" s="49"/>
      <c r="Y1" s="49"/>
      <c r="Z1" s="49"/>
      <c r="AA1" s="49"/>
      <c r="AB1" s="49"/>
      <c r="AC1" s="49"/>
      <c r="AD1" s="50" t="s">
        <v>2</v>
      </c>
      <c r="AE1" s="50" t="s">
        <v>1</v>
      </c>
      <c r="AF1" s="50"/>
      <c r="AG1" s="50"/>
      <c r="AH1" s="50"/>
    </row>
    <row r="2" spans="1:34" s="33" customFormat="1" ht="87.95" customHeight="1">
      <c r="A2" s="31" t="s">
        <v>3</v>
      </c>
      <c r="B2" s="31" t="s">
        <v>4</v>
      </c>
      <c r="C2" s="31" t="s">
        <v>5</v>
      </c>
      <c r="D2" s="31" t="s">
        <v>6</v>
      </c>
      <c r="E2" s="31" t="s">
        <v>7</v>
      </c>
      <c r="F2" s="31" t="s">
        <v>8</v>
      </c>
      <c r="G2" s="31" t="s">
        <v>9</v>
      </c>
      <c r="H2" s="31" t="s">
        <v>10</v>
      </c>
      <c r="I2" s="31" t="s">
        <v>11</v>
      </c>
      <c r="J2" s="31" t="s">
        <v>69</v>
      </c>
      <c r="K2" s="31" t="s">
        <v>70</v>
      </c>
      <c r="L2" s="31" t="s">
        <v>71</v>
      </c>
      <c r="M2" s="31" t="s">
        <v>72</v>
      </c>
      <c r="N2" s="31" t="s">
        <v>12</v>
      </c>
      <c r="O2" s="31" t="s">
        <v>13</v>
      </c>
      <c r="P2" s="31" t="s">
        <v>14</v>
      </c>
      <c r="Q2" s="31" t="s">
        <v>15</v>
      </c>
      <c r="R2" s="31" t="s">
        <v>16</v>
      </c>
      <c r="S2" s="31" t="s">
        <v>83</v>
      </c>
      <c r="T2" s="31" t="s">
        <v>17</v>
      </c>
      <c r="U2" s="31" t="s">
        <v>18</v>
      </c>
      <c r="V2" s="31" t="s">
        <v>19</v>
      </c>
      <c r="W2" s="31" t="s">
        <v>20</v>
      </c>
      <c r="X2" s="31" t="s">
        <v>21</v>
      </c>
      <c r="Y2" s="31" t="s">
        <v>22</v>
      </c>
      <c r="Z2" s="31" t="s">
        <v>23</v>
      </c>
      <c r="AA2" s="31" t="s">
        <v>24</v>
      </c>
      <c r="AB2" s="31" t="s">
        <v>25</v>
      </c>
      <c r="AC2" s="31" t="s">
        <v>26</v>
      </c>
      <c r="AD2" s="50"/>
      <c r="AE2" s="32" t="s">
        <v>27</v>
      </c>
      <c r="AF2" s="32" t="s">
        <v>28</v>
      </c>
      <c r="AG2" s="32" t="s">
        <v>29</v>
      </c>
      <c r="AH2" s="32" t="s">
        <v>30</v>
      </c>
    </row>
    <row r="3" spans="1:34" s="27" customFormat="1" ht="99">
      <c r="A3" s="21">
        <v>1</v>
      </c>
      <c r="B3" s="21" t="s">
        <v>31</v>
      </c>
      <c r="C3" s="21">
        <v>8206823</v>
      </c>
      <c r="D3" s="22" t="s">
        <v>32</v>
      </c>
      <c r="E3" s="22" t="s">
        <v>33</v>
      </c>
      <c r="F3" s="22" t="s">
        <v>34</v>
      </c>
      <c r="G3" s="22" t="s">
        <v>35</v>
      </c>
      <c r="H3" s="21">
        <v>1000</v>
      </c>
      <c r="I3" s="21" t="s">
        <v>36</v>
      </c>
      <c r="J3" s="23" t="s">
        <v>37</v>
      </c>
      <c r="K3" s="21">
        <v>432</v>
      </c>
      <c r="L3" s="21">
        <v>1680</v>
      </c>
      <c r="M3" s="21">
        <v>432</v>
      </c>
      <c r="N3" s="21">
        <f>SUM(K3:M3)</f>
        <v>2544</v>
      </c>
      <c r="O3" s="24" t="s">
        <v>38</v>
      </c>
      <c r="P3" s="22" t="s">
        <v>39</v>
      </c>
      <c r="Q3" s="21">
        <f>2500+1000</f>
        <v>3500</v>
      </c>
      <c r="R3" s="21">
        <v>0.82499999999999996</v>
      </c>
      <c r="S3" s="21">
        <v>14</v>
      </c>
      <c r="T3" s="21">
        <f>Q3-S3</f>
        <v>3486</v>
      </c>
      <c r="U3" s="21">
        <f>T3*R3</f>
        <v>2875.95</v>
      </c>
      <c r="V3" s="23" t="s">
        <v>40</v>
      </c>
      <c r="W3" s="25" t="s">
        <v>68</v>
      </c>
      <c r="X3" s="25" t="s">
        <v>41</v>
      </c>
      <c r="Y3" s="21" t="s">
        <v>42</v>
      </c>
      <c r="Z3" s="21" t="s">
        <v>42</v>
      </c>
      <c r="AA3" s="21" t="s">
        <v>42</v>
      </c>
      <c r="AB3" s="21" t="s">
        <v>42</v>
      </c>
      <c r="AC3" s="22" t="s">
        <v>43</v>
      </c>
      <c r="AD3" s="21" t="s">
        <v>46</v>
      </c>
      <c r="AE3" s="21" t="s">
        <v>42</v>
      </c>
      <c r="AF3" s="26" t="s">
        <v>44</v>
      </c>
      <c r="AG3" s="21" t="s">
        <v>45</v>
      </c>
      <c r="AH3" s="21" t="s">
        <v>42</v>
      </c>
    </row>
    <row r="4" spans="1:34" s="22" customFormat="1" ht="82.5">
      <c r="A4" s="21">
        <v>2</v>
      </c>
      <c r="B4" s="21" t="s">
        <v>31</v>
      </c>
      <c r="C4" s="21">
        <v>8201374</v>
      </c>
      <c r="D4" s="22" t="s">
        <v>47</v>
      </c>
      <c r="E4" s="22" t="s">
        <v>48</v>
      </c>
      <c r="F4" s="22" t="s">
        <v>49</v>
      </c>
      <c r="G4" s="22" t="s">
        <v>50</v>
      </c>
      <c r="H4" s="21">
        <v>320</v>
      </c>
      <c r="I4" s="21" t="s">
        <v>36</v>
      </c>
      <c r="J4" s="21" t="s">
        <v>51</v>
      </c>
      <c r="K4" s="21">
        <v>320</v>
      </c>
      <c r="L4" s="21">
        <v>0</v>
      </c>
      <c r="M4" s="21">
        <v>0</v>
      </c>
      <c r="N4" s="21">
        <f t="shared" ref="N4:N5" si="0">SUM(K4:M4)</f>
        <v>320</v>
      </c>
      <c r="O4" s="24" t="s">
        <v>52</v>
      </c>
      <c r="P4" s="22" t="s">
        <v>53</v>
      </c>
      <c r="Q4" s="21">
        <v>320</v>
      </c>
      <c r="R4" s="21">
        <v>16.5</v>
      </c>
      <c r="S4" s="21">
        <v>0</v>
      </c>
      <c r="T4" s="21">
        <f t="shared" ref="T4:T5" si="1">Q4-S4</f>
        <v>320</v>
      </c>
      <c r="U4" s="21">
        <f t="shared" ref="U4:U5" si="2">T4*R4</f>
        <v>5280</v>
      </c>
      <c r="V4" s="21" t="s">
        <v>54</v>
      </c>
      <c r="W4" s="22" t="s">
        <v>55</v>
      </c>
      <c r="X4" s="21" t="s">
        <v>41</v>
      </c>
      <c r="Y4" s="21" t="s">
        <v>42</v>
      </c>
      <c r="Z4" s="21" t="s">
        <v>42</v>
      </c>
      <c r="AA4" s="21" t="s">
        <v>42</v>
      </c>
      <c r="AB4" s="21" t="s">
        <v>42</v>
      </c>
      <c r="AC4" s="22" t="s">
        <v>43</v>
      </c>
      <c r="AD4" s="21" t="s">
        <v>46</v>
      </c>
      <c r="AE4" s="21" t="s">
        <v>42</v>
      </c>
      <c r="AF4" s="28" t="s">
        <v>56</v>
      </c>
      <c r="AG4" s="21" t="s">
        <v>45</v>
      </c>
      <c r="AH4" s="21" t="s">
        <v>42</v>
      </c>
    </row>
    <row r="5" spans="1:34" s="22" customFormat="1" ht="82.5">
      <c r="A5" s="21">
        <v>3</v>
      </c>
      <c r="B5" s="21" t="s">
        <v>31</v>
      </c>
      <c r="C5" s="21">
        <v>8201375</v>
      </c>
      <c r="D5" s="22" t="s">
        <v>57</v>
      </c>
      <c r="E5" s="22" t="s">
        <v>48</v>
      </c>
      <c r="F5" s="22" t="s">
        <v>49</v>
      </c>
      <c r="G5" s="22" t="s">
        <v>58</v>
      </c>
      <c r="H5" s="21">
        <v>320</v>
      </c>
      <c r="I5" s="21" t="s">
        <v>36</v>
      </c>
      <c r="J5" s="21" t="s">
        <v>51</v>
      </c>
      <c r="K5" s="21">
        <v>320</v>
      </c>
      <c r="L5" s="21">
        <v>0</v>
      </c>
      <c r="M5" s="21">
        <v>0</v>
      </c>
      <c r="N5" s="21">
        <f t="shared" si="0"/>
        <v>320</v>
      </c>
      <c r="O5" s="24" t="s">
        <v>52</v>
      </c>
      <c r="P5" s="22" t="s">
        <v>53</v>
      </c>
      <c r="Q5" s="21">
        <v>320</v>
      </c>
      <c r="R5" s="21">
        <v>16.5</v>
      </c>
      <c r="S5" s="21">
        <v>0</v>
      </c>
      <c r="T5" s="21">
        <f t="shared" si="1"/>
        <v>320</v>
      </c>
      <c r="U5" s="21">
        <f t="shared" si="2"/>
        <v>5280</v>
      </c>
      <c r="V5" s="21" t="s">
        <v>59</v>
      </c>
      <c r="W5" s="22" t="s">
        <v>55</v>
      </c>
      <c r="X5" s="21" t="s">
        <v>41</v>
      </c>
      <c r="Y5" s="21" t="s">
        <v>42</v>
      </c>
      <c r="Z5" s="21" t="s">
        <v>42</v>
      </c>
      <c r="AA5" s="21" t="s">
        <v>42</v>
      </c>
      <c r="AB5" s="21" t="s">
        <v>42</v>
      </c>
      <c r="AC5" s="22" t="s">
        <v>43</v>
      </c>
      <c r="AD5" s="21" t="s">
        <v>46</v>
      </c>
      <c r="AE5" s="21" t="s">
        <v>42</v>
      </c>
      <c r="AF5" s="28" t="s">
        <v>56</v>
      </c>
      <c r="AG5" s="21" t="s">
        <v>45</v>
      </c>
      <c r="AH5" s="21" t="s">
        <v>42</v>
      </c>
    </row>
    <row r="6" spans="1:34">
      <c r="T6" s="29" t="s">
        <v>73</v>
      </c>
      <c r="U6" s="29">
        <f>SUM(U3:U5)</f>
        <v>13435.95</v>
      </c>
    </row>
  </sheetData>
  <mergeCells count="5">
    <mergeCell ref="A1:J1"/>
    <mergeCell ref="K1:M1"/>
    <mergeCell ref="N1:AC1"/>
    <mergeCell ref="AD1:AD2"/>
    <mergeCell ref="AE1:AH1"/>
  </mergeCells>
  <phoneticPr fontId="19"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750DC593E51940B19CDE5A758E42AD" ma:contentTypeVersion="6" ma:contentTypeDescription="Create a new document." ma:contentTypeScope="" ma:versionID="733be0159944cdc3170dce3644f8ed13">
  <xsd:schema xmlns:xsd="http://www.w3.org/2001/XMLSchema" xmlns:xs="http://www.w3.org/2001/XMLSchema" xmlns:p="http://schemas.microsoft.com/office/2006/metadata/properties" xmlns:ns2="f085ca05-1a56-417b-bcef-25b3bd9988f8" xmlns:ns3="16634417-8341-485d-9449-549e9b96c858" targetNamespace="http://schemas.microsoft.com/office/2006/metadata/properties" ma:root="true" ma:fieldsID="113a26f8eec637953c551aab5fb25e41" ns2:_="" ns3:_="">
    <xsd:import namespace="f085ca05-1a56-417b-bcef-25b3bd9988f8"/>
    <xsd:import namespace="16634417-8341-485d-9449-549e9b96c858"/>
    <xsd:element name="properties">
      <xsd:complexType>
        <xsd:sequence>
          <xsd:element name="documentManagement">
            <xsd:complexType>
              <xsd:all>
                <xsd:element ref="ns2:IncludeInSearch"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85ca05-1a56-417b-bcef-25b3bd9988f8" elementFormDefault="qualified">
    <xsd:import namespace="http://schemas.microsoft.com/office/2006/documentManagement/types"/>
    <xsd:import namespace="http://schemas.microsoft.com/office/infopath/2007/PartnerControls"/>
    <xsd:element name="IncludeInSearch" ma:index="8" nillable="true" ma:displayName="IncludeInMyOracleSearch" ma:default="1" ma:internalName="IncludeInSearch"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634417-8341-485d-9449-549e9b96c85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4b6b08d2-6182-4197-8221-8710a9404ce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ncludeInSearch xmlns="f085ca05-1a56-417b-bcef-25b3bd9988f8">true</IncludeInSearch>
  </documentManagement>
</p:properties>
</file>

<file path=customXml/itemProps1.xml><?xml version="1.0" encoding="utf-8"?>
<ds:datastoreItem xmlns:ds="http://schemas.openxmlformats.org/officeDocument/2006/customXml" ds:itemID="{94F78F4F-21F0-4BC8-8393-9B8A9B19CC3D}"/>
</file>

<file path=customXml/itemProps2.xml><?xml version="1.0" encoding="utf-8"?>
<ds:datastoreItem xmlns:ds="http://schemas.openxmlformats.org/officeDocument/2006/customXml" ds:itemID="{05BE6B7C-8859-455B-9A72-486AF782A04D}"/>
</file>

<file path=customXml/itemProps3.xml><?xml version="1.0" encoding="utf-8"?>
<ds:datastoreItem xmlns:ds="http://schemas.openxmlformats.org/officeDocument/2006/customXml" ds:itemID="{D3CDFA62-5700-446B-B728-D5DD9A92DA45}"/>
</file>

<file path=customXml/itemProps4.xml><?xml version="1.0" encoding="utf-8"?>
<ds:datastoreItem xmlns:ds="http://schemas.openxmlformats.org/officeDocument/2006/customXml" ds:itemID="{AC5C64BA-8E74-44EB-AD5E-D417981FDB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Instructions</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Van ark</dc:creator>
  <cp:lastModifiedBy>Christine Bump</cp:lastModifiedBy>
  <dcterms:created xsi:type="dcterms:W3CDTF">2020-04-08T20:45:25Z</dcterms:created>
  <dcterms:modified xsi:type="dcterms:W3CDTF">2022-01-24T13:31:57Z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0x010100EC750DC593E51940B19CDE5A758E42AD</vt:lpwstr>
  </property>
</Properties>
</file>